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ehtabsingh/Documents/Python/Physics_Projects/Solar Rotation Analysis/Github Repo/data/"/>
    </mc:Choice>
  </mc:AlternateContent>
  <xr:revisionPtr revIDLastSave="0" documentId="13_ncr:1_{E0340EF0-AFFE-B74F-8CFB-FBD1D0EC0E14}" xr6:coauthVersionLast="47" xr6:coauthVersionMax="47" xr10:uidLastSave="{00000000-0000-0000-0000-000000000000}"/>
  <bookViews>
    <workbookView xWindow="0" yWindow="760" windowWidth="30240" windowHeight="180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4" l="1"/>
  <c r="W11" i="4" s="1"/>
  <c r="V22" i="4"/>
  <c r="W22" i="4" s="1"/>
  <c r="V33" i="4"/>
  <c r="W33" i="4" s="1"/>
  <c r="V44" i="4"/>
  <c r="W44" i="4" s="1"/>
  <c r="V55" i="4"/>
  <c r="W55" i="4" s="1"/>
  <c r="V66" i="4"/>
  <c r="W66" i="4" s="1"/>
  <c r="V77" i="4"/>
  <c r="W77" i="4" s="1"/>
  <c r="V88" i="4"/>
  <c r="W88" i="4" s="1"/>
  <c r="V99" i="4"/>
  <c r="W99" i="4" s="1"/>
  <c r="V110" i="4"/>
  <c r="W110" i="4" s="1"/>
  <c r="U3" i="4"/>
  <c r="U4" i="4"/>
  <c r="U5" i="4"/>
  <c r="U6" i="4"/>
  <c r="U7" i="4"/>
  <c r="U8" i="4"/>
  <c r="U9" i="4"/>
  <c r="V9" i="4" s="1"/>
  <c r="W9" i="4" s="1"/>
  <c r="U10" i="4"/>
  <c r="V10" i="4" s="1"/>
  <c r="W10" i="4" s="1"/>
  <c r="U11" i="4"/>
  <c r="U12" i="4"/>
  <c r="U13" i="4"/>
  <c r="U14" i="4"/>
  <c r="U15" i="4"/>
  <c r="U16" i="4"/>
  <c r="U17" i="4"/>
  <c r="U18" i="4"/>
  <c r="U19" i="4"/>
  <c r="V19" i="4" s="1"/>
  <c r="W19" i="4" s="1"/>
  <c r="U20" i="4"/>
  <c r="V20" i="4" s="1"/>
  <c r="W20" i="4" s="1"/>
  <c r="U21" i="4"/>
  <c r="V21" i="4" s="1"/>
  <c r="W21" i="4" s="1"/>
  <c r="U22" i="4"/>
  <c r="U23" i="4"/>
  <c r="U24" i="4"/>
  <c r="U25" i="4"/>
  <c r="U26" i="4"/>
  <c r="U27" i="4"/>
  <c r="U28" i="4"/>
  <c r="U29" i="4"/>
  <c r="U30" i="4"/>
  <c r="V30" i="4" s="1"/>
  <c r="W30" i="4" s="1"/>
  <c r="U31" i="4"/>
  <c r="V31" i="4" s="1"/>
  <c r="W31" i="4" s="1"/>
  <c r="U32" i="4"/>
  <c r="V32" i="4" s="1"/>
  <c r="W32" i="4" s="1"/>
  <c r="U33" i="4"/>
  <c r="U34" i="4"/>
  <c r="U35" i="4"/>
  <c r="U36" i="4"/>
  <c r="U37" i="4"/>
  <c r="U38" i="4"/>
  <c r="U39" i="4"/>
  <c r="U40" i="4"/>
  <c r="U41" i="4"/>
  <c r="V41" i="4" s="1"/>
  <c r="W41" i="4" s="1"/>
  <c r="U42" i="4"/>
  <c r="V42" i="4" s="1"/>
  <c r="W42" i="4" s="1"/>
  <c r="U43" i="4"/>
  <c r="V43" i="4" s="1"/>
  <c r="W43" i="4" s="1"/>
  <c r="U44" i="4"/>
  <c r="U45" i="4"/>
  <c r="U46" i="4"/>
  <c r="U47" i="4"/>
  <c r="U48" i="4"/>
  <c r="U49" i="4"/>
  <c r="U50" i="4"/>
  <c r="U51" i="4"/>
  <c r="U52" i="4"/>
  <c r="V52" i="4" s="1"/>
  <c r="W52" i="4" s="1"/>
  <c r="U53" i="4"/>
  <c r="V53" i="4" s="1"/>
  <c r="W53" i="4" s="1"/>
  <c r="U54" i="4"/>
  <c r="V54" i="4" s="1"/>
  <c r="W54" i="4" s="1"/>
  <c r="U55" i="4"/>
  <c r="U56" i="4"/>
  <c r="U57" i="4"/>
  <c r="U58" i="4"/>
  <c r="U59" i="4"/>
  <c r="U60" i="4"/>
  <c r="U61" i="4"/>
  <c r="U62" i="4"/>
  <c r="U63" i="4"/>
  <c r="V63" i="4" s="1"/>
  <c r="W63" i="4" s="1"/>
  <c r="U64" i="4"/>
  <c r="V64" i="4" s="1"/>
  <c r="W64" i="4" s="1"/>
  <c r="U65" i="4"/>
  <c r="V65" i="4" s="1"/>
  <c r="W65" i="4" s="1"/>
  <c r="U66" i="4"/>
  <c r="U67" i="4"/>
  <c r="U68" i="4"/>
  <c r="U69" i="4"/>
  <c r="U70" i="4"/>
  <c r="U71" i="4"/>
  <c r="U72" i="4"/>
  <c r="U73" i="4"/>
  <c r="U74" i="4"/>
  <c r="V74" i="4" s="1"/>
  <c r="W74" i="4" s="1"/>
  <c r="U75" i="4"/>
  <c r="V75" i="4" s="1"/>
  <c r="W75" i="4" s="1"/>
  <c r="U76" i="4"/>
  <c r="V76" i="4" s="1"/>
  <c r="W76" i="4" s="1"/>
  <c r="U77" i="4"/>
  <c r="U78" i="4"/>
  <c r="U79" i="4"/>
  <c r="U80" i="4"/>
  <c r="U81" i="4"/>
  <c r="U82" i="4"/>
  <c r="U83" i="4"/>
  <c r="U84" i="4"/>
  <c r="U85" i="4"/>
  <c r="V85" i="4" s="1"/>
  <c r="W85" i="4" s="1"/>
  <c r="U86" i="4"/>
  <c r="V86" i="4" s="1"/>
  <c r="W86" i="4" s="1"/>
  <c r="U87" i="4"/>
  <c r="V87" i="4" s="1"/>
  <c r="W87" i="4" s="1"/>
  <c r="U88" i="4"/>
  <c r="U89" i="4"/>
  <c r="U90" i="4"/>
  <c r="U91" i="4"/>
  <c r="U92" i="4"/>
  <c r="U93" i="4"/>
  <c r="U94" i="4"/>
  <c r="U95" i="4"/>
  <c r="U96" i="4"/>
  <c r="V96" i="4" s="1"/>
  <c r="W96" i="4" s="1"/>
  <c r="U97" i="4"/>
  <c r="V97" i="4" s="1"/>
  <c r="W97" i="4" s="1"/>
  <c r="U98" i="4"/>
  <c r="V98" i="4" s="1"/>
  <c r="W98" i="4" s="1"/>
  <c r="U99" i="4"/>
  <c r="U100" i="4"/>
  <c r="U101" i="4"/>
  <c r="U102" i="4"/>
  <c r="U103" i="4"/>
  <c r="U104" i="4"/>
  <c r="U105" i="4"/>
  <c r="U106" i="4"/>
  <c r="U107" i="4"/>
  <c r="V107" i="4" s="1"/>
  <c r="W107" i="4" s="1"/>
  <c r="U108" i="4"/>
  <c r="V108" i="4" s="1"/>
  <c r="W108" i="4" s="1"/>
  <c r="U109" i="4"/>
  <c r="V109" i="4" s="1"/>
  <c r="W109" i="4" s="1"/>
  <c r="U110" i="4"/>
  <c r="U111" i="4"/>
  <c r="U112" i="4"/>
  <c r="U113" i="4"/>
  <c r="U2" i="4"/>
  <c r="V3" i="4"/>
  <c r="W3" i="4" s="1"/>
  <c r="P67" i="4"/>
  <c r="Q67" i="4"/>
  <c r="R67" i="4"/>
  <c r="S67" i="4"/>
  <c r="T67" i="4"/>
  <c r="P68" i="4"/>
  <c r="Q68" i="4"/>
  <c r="R68" i="4"/>
  <c r="S68" i="4"/>
  <c r="T68" i="4"/>
  <c r="P69" i="4"/>
  <c r="Q69" i="4"/>
  <c r="R69" i="4"/>
  <c r="S69" i="4"/>
  <c r="T69" i="4"/>
  <c r="P70" i="4"/>
  <c r="Q70" i="4"/>
  <c r="R70" i="4"/>
  <c r="S70" i="4"/>
  <c r="T70" i="4"/>
  <c r="P71" i="4"/>
  <c r="Q71" i="4"/>
  <c r="R71" i="4"/>
  <c r="S71" i="4"/>
  <c r="T71" i="4"/>
  <c r="P72" i="4"/>
  <c r="Q72" i="4"/>
  <c r="R72" i="4"/>
  <c r="S72" i="4"/>
  <c r="T72" i="4"/>
  <c r="P73" i="4"/>
  <c r="Q73" i="4"/>
  <c r="R73" i="4"/>
  <c r="S73" i="4"/>
  <c r="T73" i="4"/>
  <c r="P74" i="4"/>
  <c r="Q74" i="4"/>
  <c r="R74" i="4"/>
  <c r="S74" i="4"/>
  <c r="T74" i="4"/>
  <c r="P75" i="4"/>
  <c r="Q75" i="4"/>
  <c r="R75" i="4"/>
  <c r="S75" i="4"/>
  <c r="T7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P41" i="4"/>
  <c r="Q41" i="4"/>
  <c r="R41" i="4"/>
  <c r="S41" i="4"/>
  <c r="P42" i="4"/>
  <c r="Q42" i="4"/>
  <c r="R42" i="4"/>
  <c r="S42" i="4"/>
  <c r="P43" i="4"/>
  <c r="Q43" i="4"/>
  <c r="R43" i="4"/>
  <c r="S43" i="4"/>
  <c r="P44" i="4"/>
  <c r="Q44" i="4"/>
  <c r="R44" i="4"/>
  <c r="S44" i="4"/>
  <c r="P45" i="4"/>
  <c r="Q45" i="4"/>
  <c r="R45" i="4"/>
  <c r="S45" i="4"/>
  <c r="P46" i="4"/>
  <c r="Q46" i="4"/>
  <c r="R46" i="4"/>
  <c r="S46" i="4"/>
  <c r="P47" i="4"/>
  <c r="Q47" i="4"/>
  <c r="R47" i="4"/>
  <c r="S47" i="4"/>
  <c r="P48" i="4"/>
  <c r="Q48" i="4"/>
  <c r="R48" i="4"/>
  <c r="S48" i="4"/>
  <c r="P49" i="4"/>
  <c r="Q49" i="4"/>
  <c r="R49" i="4"/>
  <c r="S49" i="4"/>
  <c r="P50" i="4"/>
  <c r="Q50" i="4"/>
  <c r="R50" i="4"/>
  <c r="S50" i="4"/>
  <c r="P51" i="4"/>
  <c r="Q51" i="4"/>
  <c r="R51" i="4"/>
  <c r="S51" i="4"/>
  <c r="P52" i="4"/>
  <c r="Q52" i="4"/>
  <c r="R52" i="4"/>
  <c r="S52" i="4"/>
  <c r="P53" i="4"/>
  <c r="Q53" i="4"/>
  <c r="R53" i="4"/>
  <c r="S53" i="4"/>
  <c r="P54" i="4"/>
  <c r="Q54" i="4"/>
  <c r="R54" i="4"/>
  <c r="S54" i="4"/>
  <c r="P55" i="4"/>
  <c r="Q55" i="4"/>
  <c r="R55" i="4"/>
  <c r="S55" i="4"/>
  <c r="P56" i="4"/>
  <c r="Q56" i="4"/>
  <c r="R56" i="4"/>
  <c r="S56" i="4"/>
  <c r="P57" i="4"/>
  <c r="Q57" i="4"/>
  <c r="R57" i="4"/>
  <c r="S57" i="4"/>
  <c r="P58" i="4"/>
  <c r="Q58" i="4"/>
  <c r="R58" i="4"/>
  <c r="S58" i="4"/>
  <c r="P59" i="4"/>
  <c r="Q59" i="4"/>
  <c r="R59" i="4"/>
  <c r="S59" i="4"/>
  <c r="P60" i="4"/>
  <c r="Q60" i="4"/>
  <c r="R60" i="4"/>
  <c r="S60" i="4"/>
  <c r="P61" i="4"/>
  <c r="Q61" i="4"/>
  <c r="R61" i="4"/>
  <c r="S61" i="4"/>
  <c r="P62" i="4"/>
  <c r="Q62" i="4"/>
  <c r="R62" i="4"/>
  <c r="S62" i="4"/>
  <c r="P63" i="4"/>
  <c r="Q63" i="4"/>
  <c r="R63" i="4"/>
  <c r="S63" i="4"/>
  <c r="P64" i="4"/>
  <c r="Q64" i="4"/>
  <c r="R64" i="4"/>
  <c r="S64" i="4"/>
  <c r="P65" i="4"/>
  <c r="Q65" i="4"/>
  <c r="R65" i="4"/>
  <c r="S65" i="4"/>
  <c r="P66" i="4"/>
  <c r="Q66" i="4"/>
  <c r="R66" i="4"/>
  <c r="S66" i="4"/>
  <c r="P76" i="4"/>
  <c r="Q76" i="4"/>
  <c r="R76" i="4"/>
  <c r="S76" i="4"/>
  <c r="P77" i="4"/>
  <c r="Q77" i="4"/>
  <c r="R77" i="4"/>
  <c r="S77" i="4"/>
  <c r="P78" i="4"/>
  <c r="Q78" i="4"/>
  <c r="R78" i="4"/>
  <c r="S78" i="4"/>
  <c r="P79" i="4"/>
  <c r="Q79" i="4"/>
  <c r="R79" i="4"/>
  <c r="S79" i="4"/>
  <c r="P80" i="4"/>
  <c r="Q80" i="4"/>
  <c r="R80" i="4"/>
  <c r="S80" i="4"/>
  <c r="P81" i="4"/>
  <c r="Q81" i="4"/>
  <c r="R81" i="4"/>
  <c r="S81" i="4"/>
  <c r="P82" i="4"/>
  <c r="Q82" i="4"/>
  <c r="R82" i="4"/>
  <c r="S82" i="4"/>
  <c r="P83" i="4"/>
  <c r="Q83" i="4"/>
  <c r="R83" i="4"/>
  <c r="S83" i="4"/>
  <c r="P84" i="4"/>
  <c r="Q84" i="4"/>
  <c r="R84" i="4"/>
  <c r="S84" i="4"/>
  <c r="P85" i="4"/>
  <c r="Q85" i="4"/>
  <c r="R85" i="4"/>
  <c r="S85" i="4"/>
  <c r="P86" i="4"/>
  <c r="Q86" i="4"/>
  <c r="R86" i="4"/>
  <c r="S86" i="4"/>
  <c r="P87" i="4"/>
  <c r="Q87" i="4"/>
  <c r="R87" i="4"/>
  <c r="S87" i="4"/>
  <c r="P88" i="4"/>
  <c r="Q88" i="4"/>
  <c r="R88" i="4"/>
  <c r="S88" i="4"/>
  <c r="P89" i="4"/>
  <c r="Q89" i="4"/>
  <c r="R89" i="4"/>
  <c r="S89" i="4"/>
  <c r="P90" i="4"/>
  <c r="Q90" i="4"/>
  <c r="R90" i="4"/>
  <c r="S90" i="4"/>
  <c r="P91" i="4"/>
  <c r="Q91" i="4"/>
  <c r="R91" i="4"/>
  <c r="S91" i="4"/>
  <c r="P92" i="4"/>
  <c r="Q92" i="4"/>
  <c r="R92" i="4"/>
  <c r="S92" i="4"/>
  <c r="P93" i="4"/>
  <c r="Q93" i="4"/>
  <c r="R93" i="4"/>
  <c r="S93" i="4"/>
  <c r="P94" i="4"/>
  <c r="Q94" i="4"/>
  <c r="R94" i="4"/>
  <c r="S94" i="4"/>
  <c r="P95" i="4"/>
  <c r="Q95" i="4"/>
  <c r="R95" i="4"/>
  <c r="S95" i="4"/>
  <c r="P96" i="4"/>
  <c r="Q96" i="4"/>
  <c r="R96" i="4"/>
  <c r="S96" i="4"/>
  <c r="P97" i="4"/>
  <c r="Q97" i="4"/>
  <c r="R97" i="4"/>
  <c r="S97" i="4"/>
  <c r="P98" i="4"/>
  <c r="Q98" i="4"/>
  <c r="R98" i="4"/>
  <c r="S98" i="4"/>
  <c r="P99" i="4"/>
  <c r="Q99" i="4"/>
  <c r="R99" i="4"/>
  <c r="S99" i="4"/>
  <c r="P100" i="4"/>
  <c r="Q100" i="4"/>
  <c r="R100" i="4"/>
  <c r="S100" i="4"/>
  <c r="P101" i="4"/>
  <c r="Q101" i="4"/>
  <c r="R101" i="4"/>
  <c r="S101" i="4"/>
  <c r="P102" i="4"/>
  <c r="Q102" i="4"/>
  <c r="R102" i="4"/>
  <c r="S102" i="4"/>
  <c r="P103" i="4"/>
  <c r="Q103" i="4"/>
  <c r="R103" i="4"/>
  <c r="S103" i="4"/>
  <c r="P104" i="4"/>
  <c r="Q104" i="4"/>
  <c r="R104" i="4"/>
  <c r="S104" i="4"/>
  <c r="P105" i="4"/>
  <c r="Q105" i="4"/>
  <c r="R105" i="4"/>
  <c r="S105" i="4"/>
  <c r="P106" i="4"/>
  <c r="Q106" i="4"/>
  <c r="R106" i="4"/>
  <c r="S106" i="4"/>
  <c r="P107" i="4"/>
  <c r="Q107" i="4"/>
  <c r="R107" i="4"/>
  <c r="S107" i="4"/>
  <c r="P108" i="4"/>
  <c r="Q108" i="4"/>
  <c r="R108" i="4"/>
  <c r="S108" i="4"/>
  <c r="P109" i="4"/>
  <c r="Q109" i="4"/>
  <c r="R109" i="4"/>
  <c r="S109" i="4"/>
  <c r="P110" i="4"/>
  <c r="Q110" i="4"/>
  <c r="R110" i="4"/>
  <c r="S110" i="4"/>
  <c r="P111" i="4"/>
  <c r="Q111" i="4"/>
  <c r="R111" i="4"/>
  <c r="S111" i="4"/>
  <c r="P112" i="4"/>
  <c r="Q112" i="4"/>
  <c r="R112" i="4"/>
  <c r="S112" i="4"/>
  <c r="P113" i="4"/>
  <c r="Q113" i="4"/>
  <c r="R113" i="4"/>
  <c r="S113" i="4"/>
  <c r="V26" i="4" l="1"/>
  <c r="W26" i="4" s="1"/>
  <c r="V91" i="4"/>
  <c r="W91" i="4" s="1"/>
  <c r="V69" i="4"/>
  <c r="W69" i="4" s="1"/>
  <c r="V47" i="4"/>
  <c r="W47" i="4" s="1"/>
  <c r="V14" i="4"/>
  <c r="W14" i="4" s="1"/>
  <c r="V112" i="4"/>
  <c r="W112" i="4" s="1"/>
  <c r="V101" i="4"/>
  <c r="W101" i="4" s="1"/>
  <c r="V90" i="4"/>
  <c r="W90" i="4" s="1"/>
  <c r="V79" i="4"/>
  <c r="W79" i="4" s="1"/>
  <c r="V68" i="4"/>
  <c r="W68" i="4" s="1"/>
  <c r="V57" i="4"/>
  <c r="W57" i="4" s="1"/>
  <c r="V46" i="4"/>
  <c r="W46" i="4" s="1"/>
  <c r="V35" i="4"/>
  <c r="W35" i="4" s="1"/>
  <c r="V24" i="4"/>
  <c r="W24" i="4" s="1"/>
  <c r="V13" i="4"/>
  <c r="W13" i="4" s="1"/>
  <c r="V103" i="4"/>
  <c r="W103" i="4" s="1"/>
  <c r="V92" i="4"/>
  <c r="W92" i="4" s="1"/>
  <c r="V81" i="4"/>
  <c r="W81" i="4" s="1"/>
  <c r="V70" i="4"/>
  <c r="W70" i="4" s="1"/>
  <c r="V59" i="4"/>
  <c r="W59" i="4" s="1"/>
  <c r="V48" i="4"/>
  <c r="W48" i="4" s="1"/>
  <c r="V37" i="4"/>
  <c r="W37" i="4" s="1"/>
  <c r="V15" i="4"/>
  <c r="W15" i="4" s="1"/>
  <c r="V2" i="4"/>
  <c r="W2" i="4" s="1"/>
  <c r="V113" i="4"/>
  <c r="W113" i="4" s="1"/>
  <c r="V102" i="4"/>
  <c r="W102" i="4" s="1"/>
  <c r="V80" i="4"/>
  <c r="W80" i="4" s="1"/>
  <c r="V58" i="4"/>
  <c r="W58" i="4" s="1"/>
  <c r="V36" i="4"/>
  <c r="W36" i="4" s="1"/>
  <c r="V25" i="4"/>
  <c r="W25" i="4" s="1"/>
  <c r="V111" i="4"/>
  <c r="W111" i="4" s="1"/>
  <c r="V100" i="4"/>
  <c r="W100" i="4" s="1"/>
  <c r="V89" i="4"/>
  <c r="W89" i="4" s="1"/>
  <c r="V78" i="4"/>
  <c r="W78" i="4" s="1"/>
  <c r="V67" i="4"/>
  <c r="W67" i="4" s="1"/>
  <c r="V56" i="4"/>
  <c r="W56" i="4" s="1"/>
  <c r="V45" i="4"/>
  <c r="W45" i="4" s="1"/>
  <c r="V34" i="4"/>
  <c r="W34" i="4" s="1"/>
  <c r="V23" i="4"/>
  <c r="W23" i="4" s="1"/>
  <c r="V12" i="4"/>
  <c r="W12" i="4" s="1"/>
  <c r="V8" i="4"/>
  <c r="W8" i="4" s="1"/>
  <c r="V7" i="4"/>
  <c r="W7" i="4" s="1"/>
  <c r="V6" i="4"/>
  <c r="W6" i="4" s="1"/>
  <c r="V106" i="4"/>
  <c r="W106" i="4" s="1"/>
  <c r="V95" i="4"/>
  <c r="W95" i="4" s="1"/>
  <c r="V84" i="4"/>
  <c r="W84" i="4" s="1"/>
  <c r="V73" i="4"/>
  <c r="W73" i="4" s="1"/>
  <c r="V62" i="4"/>
  <c r="W62" i="4" s="1"/>
  <c r="V51" i="4"/>
  <c r="W51" i="4" s="1"/>
  <c r="V40" i="4"/>
  <c r="W40" i="4" s="1"/>
  <c r="V29" i="4"/>
  <c r="W29" i="4" s="1"/>
  <c r="V18" i="4"/>
  <c r="W18" i="4" s="1"/>
  <c r="V105" i="4"/>
  <c r="W105" i="4" s="1"/>
  <c r="V94" i="4"/>
  <c r="W94" i="4" s="1"/>
  <c r="V83" i="4"/>
  <c r="W83" i="4" s="1"/>
  <c r="V72" i="4"/>
  <c r="W72" i="4" s="1"/>
  <c r="V61" i="4"/>
  <c r="W61" i="4" s="1"/>
  <c r="V50" i="4"/>
  <c r="W50" i="4" s="1"/>
  <c r="V39" i="4"/>
  <c r="W39" i="4" s="1"/>
  <c r="V28" i="4"/>
  <c r="W28" i="4" s="1"/>
  <c r="V17" i="4"/>
  <c r="W17" i="4" s="1"/>
  <c r="V104" i="4"/>
  <c r="W104" i="4" s="1"/>
  <c r="V93" i="4"/>
  <c r="W93" i="4" s="1"/>
  <c r="V82" i="4"/>
  <c r="W82" i="4" s="1"/>
  <c r="V71" i="4"/>
  <c r="W71" i="4" s="1"/>
  <c r="V60" i="4"/>
  <c r="W60" i="4" s="1"/>
  <c r="V49" i="4"/>
  <c r="W49" i="4" s="1"/>
  <c r="V38" i="4"/>
  <c r="W38" i="4" s="1"/>
  <c r="V27" i="4"/>
  <c r="W27" i="4" s="1"/>
  <c r="V16" i="4"/>
  <c r="W16" i="4" s="1"/>
  <c r="V5" i="4"/>
  <c r="W5" i="4" s="1"/>
  <c r="V4" i="4"/>
  <c r="W4" i="4" s="1"/>
  <c r="T35" i="4"/>
  <c r="T29" i="4"/>
  <c r="T30" i="4"/>
  <c r="T31" i="4"/>
  <c r="T32" i="4"/>
  <c r="T33" i="4"/>
  <c r="T34" i="4"/>
  <c r="P32" i="4"/>
  <c r="Q32" i="4"/>
  <c r="R32" i="4"/>
  <c r="S32" i="4"/>
  <c r="P33" i="4"/>
  <c r="Q33" i="4"/>
  <c r="R33" i="4"/>
  <c r="S33" i="4"/>
  <c r="P34" i="4"/>
  <c r="Q34" i="4"/>
  <c r="R34" i="4"/>
  <c r="S34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" i="4"/>
  <c r="P27" i="4"/>
  <c r="Q27" i="4"/>
  <c r="R27" i="4"/>
  <c r="S27" i="4"/>
  <c r="P28" i="4"/>
  <c r="Q28" i="4"/>
  <c r="R28" i="4"/>
  <c r="S28" i="4"/>
  <c r="P29" i="4"/>
  <c r="Q29" i="4"/>
  <c r="R29" i="4"/>
  <c r="S29" i="4"/>
  <c r="P30" i="4"/>
  <c r="Q30" i="4"/>
  <c r="R30" i="4"/>
  <c r="S30" i="4"/>
  <c r="P31" i="4"/>
  <c r="Q31" i="4"/>
  <c r="R31" i="4"/>
  <c r="S31" i="4"/>
  <c r="P35" i="4"/>
  <c r="Q35" i="4"/>
  <c r="R35" i="4"/>
  <c r="S35" i="4"/>
  <c r="P36" i="4"/>
  <c r="Q36" i="4"/>
  <c r="R36" i="4"/>
  <c r="S36" i="4"/>
  <c r="P37" i="4"/>
  <c r="Q37" i="4"/>
  <c r="R37" i="4"/>
  <c r="S37" i="4"/>
  <c r="P38" i="4"/>
  <c r="Q38" i="4"/>
  <c r="R38" i="4"/>
  <c r="S38" i="4"/>
  <c r="P39" i="4"/>
  <c r="Q39" i="4"/>
  <c r="R39" i="4"/>
  <c r="S39" i="4"/>
  <c r="S21" i="4"/>
  <c r="S22" i="4"/>
  <c r="S23" i="4"/>
  <c r="S24" i="4"/>
  <c r="S25" i="4"/>
  <c r="S26" i="4"/>
  <c r="S40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" i="4"/>
  <c r="Q20" i="4"/>
  <c r="R20" i="4"/>
  <c r="Q21" i="4"/>
  <c r="R21" i="4"/>
  <c r="Q22" i="4"/>
  <c r="R22" i="4"/>
  <c r="Q23" i="4"/>
  <c r="R23" i="4"/>
  <c r="Q24" i="4"/>
  <c r="R24" i="4"/>
  <c r="Q25" i="4"/>
  <c r="R25" i="4"/>
  <c r="Q26" i="4"/>
  <c r="R26" i="4"/>
  <c r="Q40" i="4"/>
  <c r="R40" i="4"/>
  <c r="Q13" i="4"/>
  <c r="R13" i="4"/>
  <c r="Q14" i="4"/>
  <c r="R14" i="4"/>
  <c r="Q15" i="4"/>
  <c r="R15" i="4"/>
  <c r="Q16" i="4"/>
  <c r="R16" i="4"/>
  <c r="Q17" i="4"/>
  <c r="R17" i="4"/>
  <c r="Q18" i="4"/>
  <c r="R18" i="4"/>
  <c r="Q19" i="4"/>
  <c r="R19" i="4"/>
  <c r="R3" i="4"/>
  <c r="R4" i="4"/>
  <c r="R5" i="4"/>
  <c r="R6" i="4"/>
  <c r="R7" i="4"/>
  <c r="R8" i="4"/>
  <c r="R9" i="4"/>
  <c r="R10" i="4"/>
  <c r="R11" i="4"/>
  <c r="R12" i="4"/>
  <c r="R2" i="4"/>
  <c r="Q12" i="4"/>
  <c r="P12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40" i="4"/>
  <c r="Q3" i="4"/>
  <c r="Q4" i="4"/>
  <c r="Q5" i="4"/>
  <c r="Q6" i="4"/>
  <c r="Q7" i="4"/>
  <c r="Q8" i="4"/>
  <c r="Q9" i="4"/>
  <c r="Q10" i="4"/>
  <c r="Q11" i="4"/>
  <c r="Q2" i="4"/>
  <c r="P3" i="4"/>
  <c r="P4" i="4"/>
  <c r="P5" i="4"/>
  <c r="P6" i="4"/>
  <c r="P7" i="4"/>
  <c r="P8" i="4"/>
  <c r="P9" i="4"/>
  <c r="P10" i="4"/>
  <c r="P11" i="4"/>
  <c r="P2" i="4"/>
</calcChain>
</file>

<file path=xl/sharedStrings.xml><?xml version="1.0" encoding="utf-8"?>
<sst xmlns="http://schemas.openxmlformats.org/spreadsheetml/2006/main" count="252" uniqueCount="212">
  <si>
    <t>Sunspot Name</t>
  </si>
  <si>
    <t>Latitude</t>
  </si>
  <si>
    <t>Latitude err</t>
  </si>
  <si>
    <t>Omega</t>
  </si>
  <si>
    <t>Omega err</t>
  </si>
  <si>
    <t>Chi^2 min</t>
  </si>
  <si>
    <t>Red Chi^2</t>
  </si>
  <si>
    <t>P value</t>
  </si>
  <si>
    <t>First Image</t>
  </si>
  <si>
    <t xml:space="preserve">Last Image </t>
  </si>
  <si>
    <t>Initial x</t>
  </si>
  <si>
    <t>Initial y</t>
  </si>
  <si>
    <t>3581</t>
  </si>
  <si>
    <t>3586</t>
  </si>
  <si>
    <t>3590</t>
  </si>
  <si>
    <t>3591</t>
  </si>
  <si>
    <t>3549</t>
  </si>
  <si>
    <t>3553</t>
  </si>
  <si>
    <t>3556</t>
  </si>
  <si>
    <t>3555</t>
  </si>
  <si>
    <t>3571</t>
  </si>
  <si>
    <t>3573</t>
  </si>
  <si>
    <t>r</t>
  </si>
  <si>
    <t>abs latitude</t>
  </si>
  <si>
    <t>percent latitude err</t>
  </si>
  <si>
    <t>3545</t>
  </si>
  <si>
    <t>3719</t>
  </si>
  <si>
    <t>3769</t>
  </si>
  <si>
    <t>3576</t>
  </si>
  <si>
    <t>3582</t>
  </si>
  <si>
    <t>3583</t>
  </si>
  <si>
    <t>3584</t>
  </si>
  <si>
    <t>3583.5</t>
  </si>
  <si>
    <t>Siderial Omega</t>
  </si>
  <si>
    <t>3596</t>
  </si>
  <si>
    <t>3602</t>
  </si>
  <si>
    <t>3603</t>
  </si>
  <si>
    <t>3605</t>
  </si>
  <si>
    <t>percent omega err</t>
  </si>
  <si>
    <t>3599</t>
  </si>
  <si>
    <t>3600</t>
  </si>
  <si>
    <t>DOF Check</t>
  </si>
  <si>
    <t>3607</t>
  </si>
  <si>
    <t>3611</t>
  </si>
  <si>
    <t>3621</t>
  </si>
  <si>
    <t>3614</t>
  </si>
  <si>
    <t>3619</t>
  </si>
  <si>
    <t>3617</t>
  </si>
  <si>
    <t>3628</t>
  </si>
  <si>
    <t>3633</t>
  </si>
  <si>
    <t>3634</t>
  </si>
  <si>
    <t>3635</t>
  </si>
  <si>
    <t>3641</t>
  </si>
  <si>
    <t>3641.5</t>
  </si>
  <si>
    <t>3636</t>
  </si>
  <si>
    <t>3638</t>
  </si>
  <si>
    <t>3639</t>
  </si>
  <si>
    <t>3639.5</t>
  </si>
  <si>
    <t>3644</t>
  </si>
  <si>
    <t>3644.5</t>
  </si>
  <si>
    <t>3652</t>
  </si>
  <si>
    <t>3654</t>
  </si>
  <si>
    <t>3655</t>
  </si>
  <si>
    <t>First Image Name</t>
  </si>
  <si>
    <t>Last Image Name</t>
  </si>
  <si>
    <t>3662</t>
  </si>
  <si>
    <t>3661</t>
  </si>
  <si>
    <t>3666</t>
  </si>
  <si>
    <t>20240503_0730_hmiigr_512.jpg</t>
  </si>
  <si>
    <t>20240508_1030_hmiigr_512.jpg</t>
  </si>
  <si>
    <t>3667</t>
  </si>
  <si>
    <t>20240505_0300_hmiigr_512.jpg</t>
  </si>
  <si>
    <t>20240514_1330_hmiigr_512.jpg</t>
  </si>
  <si>
    <t>3664</t>
  </si>
  <si>
    <t>20240511_1030_hmiigr_512.jpg</t>
  </si>
  <si>
    <t>3670</t>
  </si>
  <si>
    <t>20240506_2230_hmiigr_512.jpg</t>
  </si>
  <si>
    <t>20240510_0300_hmiigr_512.jpg</t>
  </si>
  <si>
    <t>3671</t>
  </si>
  <si>
    <t>20240509_0900_hmiigr_512.jpg</t>
  </si>
  <si>
    <t>20240513_2100_hmiigr_512.jpg</t>
  </si>
  <si>
    <t>3672</t>
  </si>
  <si>
    <t>20240518_1330_hmiigr_512.jpg</t>
  </si>
  <si>
    <t>3673</t>
  </si>
  <si>
    <t>20240511_0600_hmiigr_512.jpg</t>
  </si>
  <si>
    <t>20240517_1500_hmiigr_512.jpg</t>
  </si>
  <si>
    <t>3674</t>
  </si>
  <si>
    <t>20240520_1930_hmiigr_512.jpg</t>
  </si>
  <si>
    <t>2757</t>
  </si>
  <si>
    <t>20200125_2100_hmiigr_512.jpg</t>
  </si>
  <si>
    <t>20200130_2230_hmiigr_512.jpg</t>
  </si>
  <si>
    <t>20200401_1030_hmiigr_512.jpg</t>
  </si>
  <si>
    <t>20200405_0130_hmiigr_512.jpg</t>
  </si>
  <si>
    <t>06042020</t>
  </si>
  <si>
    <t>20200608_1330_hmiigr_512.jpg</t>
  </si>
  <si>
    <t>20200611_2100_hmiigr_512.jpg</t>
  </si>
  <si>
    <t>2767</t>
  </si>
  <si>
    <t>20200723_1030_hmiigr_512.jpg</t>
  </si>
  <si>
    <t>20200731_0600_hmiigr_512.jpg</t>
  </si>
  <si>
    <t>2770</t>
  </si>
  <si>
    <t>20200805_2100_hmiigr_512.jpg</t>
  </si>
  <si>
    <t>20200813_0430_hmiigr_512.jpg</t>
  </si>
  <si>
    <t>2776</t>
  </si>
  <si>
    <t>20201016_0430_hmiigr_512.jpg</t>
  </si>
  <si>
    <t>20201022_2100_hmiigr_512.jpg</t>
  </si>
  <si>
    <t>2781</t>
  </si>
  <si>
    <t>20201105_0300_hmiigr_512.jpg</t>
  </si>
  <si>
    <t>20201113_0730_hmiigr_512.jpg</t>
  </si>
  <si>
    <t>2784?</t>
  </si>
  <si>
    <t>20201124_0600_hmiigr_512.jpg</t>
  </si>
  <si>
    <t>20201203_1630_hmiigr_512.jpg</t>
  </si>
  <si>
    <t>2785?</t>
  </si>
  <si>
    <t>20201204_0730_hmiigr_512.jpg</t>
  </si>
  <si>
    <t>2790</t>
  </si>
  <si>
    <t>20201201_0900_hmiigr_512.jpg</t>
  </si>
  <si>
    <t>20201211_1200_hmiigr_512.jpg</t>
  </si>
  <si>
    <t>2794?</t>
  </si>
  <si>
    <t>20201224_1630_hmiigr_512.jpg</t>
  </si>
  <si>
    <t>20201231_1630_hmiigr_512.jpg</t>
  </si>
  <si>
    <t>2795?</t>
  </si>
  <si>
    <t>2796?</t>
  </si>
  <si>
    <t>3676</t>
  </si>
  <si>
    <t>20240512_1330_hmiigr_512.jpg</t>
  </si>
  <si>
    <t>20240518_0730_hmiigr_512.jpg</t>
  </si>
  <si>
    <t>3679</t>
  </si>
  <si>
    <t>20240513_0600_hmiigr_512.jpg</t>
  </si>
  <si>
    <t>20240522_1930_hmiigr_512.jpg</t>
  </si>
  <si>
    <t>3685.1</t>
  </si>
  <si>
    <t>20240520_0130_hmiigr_512.jpg</t>
  </si>
  <si>
    <t>20240525_1930_hmiigr_512.jpg</t>
  </si>
  <si>
    <t>3685.2</t>
  </si>
  <si>
    <t>3685.3</t>
  </si>
  <si>
    <t>3685.4</t>
  </si>
  <si>
    <t>3686</t>
  </si>
  <si>
    <t>3684</t>
  </si>
  <si>
    <t>20240525_0130_hmiigr_512.jpg</t>
  </si>
  <si>
    <t>3689</t>
  </si>
  <si>
    <t>20240521_1930_hmiigr_512.jpg</t>
  </si>
  <si>
    <t>20240527_0430_hmiigr_512.jpg</t>
  </si>
  <si>
    <t>3690</t>
  </si>
  <si>
    <t>20240526_1030_hmiigr_512.jpg</t>
  </si>
  <si>
    <t>20240601_1930_hmiigr_512.jpg</t>
  </si>
  <si>
    <t>3692</t>
  </si>
  <si>
    <t>20240525_2100_hmiigr_512.jpg</t>
  </si>
  <si>
    <t>20240528_2230_hmiigr_512.jpg</t>
  </si>
  <si>
    <t>3693</t>
  </si>
  <si>
    <t>20240527_2230_hmiigr_512.jpg</t>
  </si>
  <si>
    <t>20240602_0130_hmiigr_512.jpg</t>
  </si>
  <si>
    <t>3698</t>
  </si>
  <si>
    <t>20240531_1330_hmiigr_512.jpg</t>
  </si>
  <si>
    <t>20240605_1500_hmiigr_512.jpg</t>
  </si>
  <si>
    <t>3701</t>
  </si>
  <si>
    <t>20240603_0130_hmiigr_512.jpg</t>
  </si>
  <si>
    <t>20240608_0300_hmiigr_512.jpg</t>
  </si>
  <si>
    <t>3702</t>
  </si>
  <si>
    <t>20240612_1330_hmiigr_512.jpg</t>
  </si>
  <si>
    <t>3703.1</t>
  </si>
  <si>
    <t>20240608_0000_hmiigr_512.jpg</t>
  </si>
  <si>
    <t>3704</t>
  </si>
  <si>
    <t>20240603_1330_hmiigr_512.jpg</t>
  </si>
  <si>
    <t>20240611_0430_hmiigr_512.jpg</t>
  </si>
  <si>
    <t>3707</t>
  </si>
  <si>
    <t>20240609_1800_hmiigr_512.jpg</t>
  </si>
  <si>
    <t>20240614_0430_hmiigr_512.jpg</t>
  </si>
  <si>
    <t>3708</t>
  </si>
  <si>
    <t>3709</t>
  </si>
  <si>
    <t>20240617_2230_hmiigr_512.jpg</t>
  </si>
  <si>
    <t>3711</t>
  </si>
  <si>
    <t>20240617_0730_hmiigr_512.jpg</t>
  </si>
  <si>
    <t>3712.1</t>
  </si>
  <si>
    <t>20240615_0000_hmiigr_512.jpg</t>
  </si>
  <si>
    <t>20240620_0300_hmiigr_512.jpg</t>
  </si>
  <si>
    <t>3712.2</t>
  </si>
  <si>
    <t>3713</t>
  </si>
  <si>
    <t>3716</t>
  </si>
  <si>
    <t>20240619_0430_hmiigr_512.jpg</t>
  </si>
  <si>
    <t>20240622_1630_hmiigr_512.jpg</t>
  </si>
  <si>
    <t>20240628_0900_hmiigr_512.jpg</t>
  </si>
  <si>
    <t>3720</t>
  </si>
  <si>
    <t>20240628_0130_hmiigr_512.jpg</t>
  </si>
  <si>
    <t>3721</t>
  </si>
  <si>
    <t>20240702_0300_hmiigr_512.jpg</t>
  </si>
  <si>
    <t>3722</t>
  </si>
  <si>
    <t>20240625_1800_hmiigr_512.jpg</t>
  </si>
  <si>
    <t>20240702_1630_hmiigr_512.jpg</t>
  </si>
  <si>
    <t>3723</t>
  </si>
  <si>
    <t>20240630_0430_hmiigr_512.jpg</t>
  </si>
  <si>
    <t>3724</t>
  </si>
  <si>
    <t>20240703_0730_hmiigr_512.jpg</t>
  </si>
  <si>
    <t>3727</t>
  </si>
  <si>
    <t>20240705_0430_hmiigr_512.jpg</t>
  </si>
  <si>
    <t>3728</t>
  </si>
  <si>
    <t>20240703_0000_hmiigr_512.jpg</t>
  </si>
  <si>
    <t>3729</t>
  </si>
  <si>
    <t>20240627_1330_hmiigr_512.jpg</t>
  </si>
  <si>
    <t>20240704_1930_hmiigr_512.jpg</t>
  </si>
  <si>
    <t>20240703_0430_hmiigr_512.jpg</t>
  </si>
  <si>
    <t>20240708_0600_hmiigr_512.jpg</t>
  </si>
  <si>
    <t>3735</t>
  </si>
  <si>
    <t>20240708_0300_hmiigr_512.jpg</t>
  </si>
  <si>
    <t>3736</t>
  </si>
  <si>
    <t>20240704_1330_hmiigr_512.jpg</t>
  </si>
  <si>
    <t>20240714_0000_hmiigr_512.jpg</t>
  </si>
  <si>
    <t>3740</t>
  </si>
  <si>
    <t>20240706_1030_hmiigr_512.jpg</t>
  </si>
  <si>
    <t>20240710_1030_hmiigr_512.jpg</t>
  </si>
  <si>
    <t>20240712_1800_hmiigr_512.jpg</t>
  </si>
  <si>
    <t>3738</t>
  </si>
  <si>
    <t>20240715_2230_hmiigr_512.jpg</t>
  </si>
  <si>
    <t>Theoretical</t>
  </si>
  <si>
    <t>rad lat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</si>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</sst>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2" fillId="0" borderId="0" xfId="0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9BBB-AFDE-8A45-B38A-B6B957460CEE}">
  <dimension ref="A1:AH113"/>
  <sheetViews>
    <sheetView tabSelected="1" zoomScale="56" zoomScaleNormal="150" workbookViewId="0">
      <pane ySplit="1" topLeftCell="A2" activePane="bottomLeft" state="frozen"/>
      <selection pane="bottomLeft" activeCell="E57" sqref="E57"/>
    </sheetView>
  </sheetViews>
  <sheetFormatPr baseColWidth="10" defaultRowHeight="16" x14ac:dyDescent="0.2"/>
  <cols>
    <col min="1" max="1" width="14" customWidth="1"/>
    <col min="2" max="2" width="11.1640625" bestFit="1" customWidth="1"/>
    <col min="3" max="3" width="12" customWidth="1"/>
    <col min="4" max="4" width="11.1640625" bestFit="1" customWidth="1"/>
    <col min="5" max="5" width="12.83203125" bestFit="1" customWidth="1"/>
    <col min="6" max="8" width="11.1640625" bestFit="1" customWidth="1"/>
    <col min="9" max="9" width="11.1640625" customWidth="1"/>
    <col min="14" max="15" width="15.6640625" customWidth="1"/>
    <col min="17" max="17" width="17" customWidth="1"/>
    <col min="18" max="18" width="16.1640625" customWidth="1"/>
    <col min="19" max="19" width="14.5" customWidth="1"/>
    <col min="34" max="34" width="17.6640625" customWidth="1"/>
  </cols>
  <sheetData>
    <row r="1" spans="1:34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22</v>
      </c>
      <c r="N1" s="4" t="s">
        <v>63</v>
      </c>
      <c r="O1" s="4" t="s">
        <v>64</v>
      </c>
      <c r="P1" s="4" t="s">
        <v>23</v>
      </c>
      <c r="Q1" s="4" t="s">
        <v>24</v>
      </c>
      <c r="R1" s="4" t="s">
        <v>38</v>
      </c>
      <c r="S1" s="4" t="s">
        <v>33</v>
      </c>
      <c r="T1" s="4" t="s">
        <v>41</v>
      </c>
      <c r="U1" s="4" t="s">
        <v>210</v>
      </c>
      <c r="V1" s="4" t="s">
        <v>209</v>
      </c>
      <c r="W1" s="4" t="s">
        <v>211</v>
      </c>
      <c r="AH1" s="4"/>
    </row>
    <row r="2" spans="1:34" x14ac:dyDescent="0.2">
      <c r="A2" t="s">
        <v>12</v>
      </c>
      <c r="B2">
        <v>-21.517406311904349</v>
      </c>
      <c r="C2">
        <v>4.1312235812235087E-2</v>
      </c>
      <c r="D2">
        <v>9.5179997097723738E-3</v>
      </c>
      <c r="E2">
        <v>1.197414817044738E-5</v>
      </c>
      <c r="F2">
        <v>8.4599655549834427</v>
      </c>
      <c r="G2">
        <v>0.1174995215969923</v>
      </c>
      <c r="H2">
        <v>1</v>
      </c>
      <c r="I2">
        <v>438</v>
      </c>
      <c r="J2">
        <v>513</v>
      </c>
      <c r="K2">
        <v>98</v>
      </c>
      <c r="L2">
        <v>322</v>
      </c>
      <c r="M2">
        <v>10</v>
      </c>
      <c r="P2">
        <f>ABS(B2)</f>
        <v>21.517406311904349</v>
      </c>
      <c r="Q2">
        <f>(C2/ABS(B2))*100</f>
        <v>0.19199449605308327</v>
      </c>
      <c r="R2">
        <f>(E2/ABS(D2))*100</f>
        <v>0.12580530085699851</v>
      </c>
      <c r="S2">
        <f t="shared" ref="S2:S20" si="0">D2+(2*PI())/(365.25*24)</f>
        <v>1.0234767369728977E-2</v>
      </c>
      <c r="T2">
        <f>F2/G2-(J2-I2-3)</f>
        <v>0</v>
      </c>
      <c r="U2">
        <f>RADIANS(B2)</f>
        <v>-0.37554958663214083</v>
      </c>
      <c r="V2">
        <f>$Y$2+$Y$3*(SIN(U2)^2)+$Y$4*(SIN(U2)^4)</f>
        <v>0</v>
      </c>
      <c r="W2">
        <f>V2-S2</f>
        <v>-1.0234767369728977E-2</v>
      </c>
    </row>
    <row r="3" spans="1:34" x14ac:dyDescent="0.2">
      <c r="A3" t="s">
        <v>13</v>
      </c>
      <c r="B3">
        <v>26.866876131423741</v>
      </c>
      <c r="C3">
        <v>3.7628888452736931E-2</v>
      </c>
      <c r="D3">
        <v>9.3663214151802707E-3</v>
      </c>
      <c r="E3">
        <v>1.6241848654687431E-5</v>
      </c>
      <c r="F3">
        <v>17.69192140483155</v>
      </c>
      <c r="G3">
        <v>0.20814025182154769</v>
      </c>
      <c r="H3">
        <v>0.99999999999999967</v>
      </c>
      <c r="I3">
        <v>496</v>
      </c>
      <c r="J3">
        <v>584</v>
      </c>
      <c r="K3">
        <v>86</v>
      </c>
      <c r="L3">
        <v>132</v>
      </c>
      <c r="M3">
        <v>10</v>
      </c>
      <c r="P3">
        <f t="shared" ref="P3:P11" si="1">ABS(B3)</f>
        <v>26.866876131423741</v>
      </c>
      <c r="Q3">
        <f t="shared" ref="Q3:Q11" si="2">(C3/ABS(B3))*100</f>
        <v>0.14005680552018418</v>
      </c>
      <c r="R3">
        <f t="shared" ref="R3:R12" si="3">(E3/ABS(D3))*100</f>
        <v>0.17340691115258752</v>
      </c>
      <c r="S3">
        <f t="shared" si="0"/>
        <v>1.0083089075136874E-2</v>
      </c>
      <c r="T3">
        <f t="shared" ref="T3:T66" si="4">F3/G3-(J3-I3-3)</f>
        <v>0</v>
      </c>
      <c r="U3">
        <f t="shared" ref="U3:U66" si="5">RADIANS(B3)</f>
        <v>0.46891544821882103</v>
      </c>
      <c r="V3">
        <f t="shared" ref="V3:V66" si="6">$Y$2+$Y$3*(SIN(U3)^2)+$Y$4*(SIN(U3)^4)</f>
        <v>0</v>
      </c>
      <c r="W3">
        <f t="shared" ref="W3:W66" si="7">V3-S3</f>
        <v>-1.0083089075136874E-2</v>
      </c>
    </row>
    <row r="4" spans="1:34" x14ac:dyDescent="0.2">
      <c r="A4" t="s">
        <v>14</v>
      </c>
      <c r="B4">
        <v>18.95735128056748</v>
      </c>
      <c r="C4">
        <v>3.7705041227194869E-2</v>
      </c>
      <c r="D4">
        <v>9.4896121896285331E-3</v>
      </c>
      <c r="E4">
        <v>1.63755058698872E-5</v>
      </c>
      <c r="F4">
        <v>59.630038264129198</v>
      </c>
      <c r="G4">
        <v>0.82819497589068325</v>
      </c>
      <c r="H4">
        <v>0.85086797566198957</v>
      </c>
      <c r="I4">
        <v>541</v>
      </c>
      <c r="J4">
        <v>616</v>
      </c>
      <c r="K4">
        <v>79</v>
      </c>
      <c r="L4">
        <v>159</v>
      </c>
      <c r="M4">
        <v>10</v>
      </c>
      <c r="P4">
        <f t="shared" si="1"/>
        <v>18.95735128056748</v>
      </c>
      <c r="Q4">
        <f t="shared" si="2"/>
        <v>0.19889403677319095</v>
      </c>
      <c r="R4">
        <f t="shared" si="3"/>
        <v>0.17256243503590649</v>
      </c>
      <c r="S4">
        <f t="shared" si="0"/>
        <v>1.0206379849585136E-2</v>
      </c>
      <c r="T4">
        <f t="shared" si="4"/>
        <v>0</v>
      </c>
      <c r="U4">
        <f t="shared" si="5"/>
        <v>0.33086819730306583</v>
      </c>
      <c r="V4">
        <f t="shared" si="6"/>
        <v>0</v>
      </c>
      <c r="W4">
        <f t="shared" si="7"/>
        <v>-1.0206379849585136E-2</v>
      </c>
    </row>
    <row r="5" spans="1:34" x14ac:dyDescent="0.2">
      <c r="A5" t="s">
        <v>15</v>
      </c>
      <c r="B5">
        <v>-36.486511150636922</v>
      </c>
      <c r="C5">
        <v>4.1363932111096353E-2</v>
      </c>
      <c r="D5">
        <v>9.2025671041704813E-3</v>
      </c>
      <c r="E5">
        <v>1.8372141063196392E-5</v>
      </c>
      <c r="F5">
        <v>16.5746493840103</v>
      </c>
      <c r="G5">
        <v>0.25499460590785078</v>
      </c>
      <c r="H5">
        <v>0.9999999998438055</v>
      </c>
      <c r="I5">
        <v>588</v>
      </c>
      <c r="J5">
        <v>656</v>
      </c>
      <c r="K5">
        <v>92</v>
      </c>
      <c r="L5">
        <v>384</v>
      </c>
      <c r="M5">
        <v>10</v>
      </c>
      <c r="P5">
        <f t="shared" si="1"/>
        <v>36.486511150636922</v>
      </c>
      <c r="Q5">
        <f t="shared" si="2"/>
        <v>0.11336773729974532</v>
      </c>
      <c r="R5">
        <f t="shared" si="3"/>
        <v>0.19964147889636558</v>
      </c>
      <c r="S5">
        <f t="shared" si="0"/>
        <v>9.9193347641270847E-3</v>
      </c>
      <c r="T5">
        <f t="shared" si="4"/>
        <v>0</v>
      </c>
      <c r="U5">
        <f t="shared" si="5"/>
        <v>-0.63680975214423907</v>
      </c>
      <c r="V5">
        <f t="shared" si="6"/>
        <v>0</v>
      </c>
      <c r="W5">
        <f t="shared" si="7"/>
        <v>-9.9193347641270847E-3</v>
      </c>
    </row>
    <row r="6" spans="1:34" x14ac:dyDescent="0.2">
      <c r="A6" t="s">
        <v>16</v>
      </c>
      <c r="B6">
        <v>-21.265974891418729</v>
      </c>
      <c r="C6">
        <v>3.9584928646725359E-2</v>
      </c>
      <c r="D6">
        <v>9.3562878726492129E-3</v>
      </c>
      <c r="E6">
        <v>8.732707774075163E-6</v>
      </c>
      <c r="F6">
        <v>181.6992567963851</v>
      </c>
      <c r="G6">
        <v>1.9126237557514221</v>
      </c>
      <c r="H6">
        <v>2.153507950586537E-7</v>
      </c>
      <c r="I6">
        <v>160</v>
      </c>
      <c r="J6">
        <v>258</v>
      </c>
      <c r="K6">
        <v>75</v>
      </c>
      <c r="L6">
        <v>335</v>
      </c>
      <c r="M6">
        <v>10</v>
      </c>
      <c r="P6">
        <f t="shared" si="1"/>
        <v>21.265974891418729</v>
      </c>
      <c r="Q6">
        <f t="shared" si="2"/>
        <v>0.18614208306386515</v>
      </c>
      <c r="R6">
        <f t="shared" si="3"/>
        <v>9.3335176225210731E-2</v>
      </c>
      <c r="S6">
        <f t="shared" si="0"/>
        <v>1.0073055532605816E-2</v>
      </c>
      <c r="T6">
        <f t="shared" si="4"/>
        <v>0</v>
      </c>
      <c r="U6">
        <f t="shared" si="5"/>
        <v>-0.37116128050170044</v>
      </c>
      <c r="V6">
        <f t="shared" si="6"/>
        <v>0</v>
      </c>
      <c r="W6">
        <f t="shared" si="7"/>
        <v>-1.0073055532605816E-2</v>
      </c>
    </row>
    <row r="7" spans="1:34" x14ac:dyDescent="0.2">
      <c r="A7" t="s">
        <v>17</v>
      </c>
      <c r="B7">
        <v>5.0744932778085579</v>
      </c>
      <c r="C7">
        <v>6.2633641899636494E-2</v>
      </c>
      <c r="D7">
        <v>9.6657574139281856E-3</v>
      </c>
      <c r="E7">
        <v>8.5240620310786939E-5</v>
      </c>
      <c r="F7">
        <v>3.965218405383657</v>
      </c>
      <c r="G7">
        <v>0.23324814149315631</v>
      </c>
      <c r="H7">
        <v>0.99951257279939631</v>
      </c>
      <c r="I7">
        <v>210</v>
      </c>
      <c r="J7">
        <v>230</v>
      </c>
      <c r="K7">
        <v>192</v>
      </c>
      <c r="L7">
        <v>213</v>
      </c>
      <c r="M7">
        <v>10</v>
      </c>
      <c r="P7">
        <f t="shared" si="1"/>
        <v>5.0744932778085579</v>
      </c>
      <c r="Q7">
        <f t="shared" si="2"/>
        <v>1.2342836707172682</v>
      </c>
      <c r="R7">
        <f t="shared" si="3"/>
        <v>0.88188247087555394</v>
      </c>
      <c r="S7">
        <f t="shared" si="0"/>
        <v>1.0382525073884789E-2</v>
      </c>
      <c r="T7">
        <f t="shared" si="4"/>
        <v>0</v>
      </c>
      <c r="U7">
        <f t="shared" si="5"/>
        <v>8.8566615568078641E-2</v>
      </c>
      <c r="V7">
        <f t="shared" si="6"/>
        <v>0</v>
      </c>
      <c r="W7">
        <f t="shared" si="7"/>
        <v>-1.0382525073884789E-2</v>
      </c>
    </row>
    <row r="8" spans="1:34" x14ac:dyDescent="0.2">
      <c r="A8" t="s">
        <v>18</v>
      </c>
      <c r="B8">
        <v>15.28264669409214</v>
      </c>
      <c r="C8">
        <v>4.9329081647808692E-2</v>
      </c>
      <c r="D8">
        <v>9.7173034587104568E-3</v>
      </c>
      <c r="E8">
        <v>6.1352094816967772E-5</v>
      </c>
      <c r="F8">
        <v>2.4333456075322291</v>
      </c>
      <c r="G8">
        <v>8.6905200269008165E-2</v>
      </c>
      <c r="H8">
        <v>0.99999999994243471</v>
      </c>
      <c r="I8">
        <v>228</v>
      </c>
      <c r="J8">
        <v>259</v>
      </c>
      <c r="K8">
        <v>152</v>
      </c>
      <c r="L8">
        <v>173</v>
      </c>
      <c r="M8">
        <v>10</v>
      </c>
      <c r="P8">
        <f t="shared" si="1"/>
        <v>15.28264669409214</v>
      </c>
      <c r="Q8">
        <f t="shared" si="2"/>
        <v>0.32277839457531909</v>
      </c>
      <c r="R8">
        <f t="shared" si="3"/>
        <v>0.63136954688774904</v>
      </c>
      <c r="S8">
        <f t="shared" si="0"/>
        <v>1.043407111866706E-2</v>
      </c>
      <c r="T8">
        <f t="shared" si="4"/>
        <v>0</v>
      </c>
      <c r="U8">
        <f t="shared" si="5"/>
        <v>0.2667325032309345</v>
      </c>
      <c r="V8">
        <f t="shared" si="6"/>
        <v>0</v>
      </c>
      <c r="W8">
        <f t="shared" si="7"/>
        <v>-1.043407111866706E-2</v>
      </c>
    </row>
    <row r="9" spans="1:34" x14ac:dyDescent="0.2">
      <c r="A9" t="s">
        <v>19</v>
      </c>
      <c r="B9">
        <v>-12.25361528297689</v>
      </c>
      <c r="C9">
        <v>4.9870001835218503E-2</v>
      </c>
      <c r="D9">
        <v>9.9579756550183286E-3</v>
      </c>
      <c r="E9">
        <v>1.276536193139762E-5</v>
      </c>
      <c r="F9">
        <v>18.777629983382131</v>
      </c>
      <c r="G9">
        <v>0.32943210497161618</v>
      </c>
      <c r="H9">
        <v>0.99999960923025166</v>
      </c>
      <c r="I9">
        <v>217</v>
      </c>
      <c r="J9">
        <v>277</v>
      </c>
      <c r="K9">
        <v>133</v>
      </c>
      <c r="L9">
        <v>286</v>
      </c>
      <c r="M9">
        <v>10</v>
      </c>
      <c r="P9">
        <f t="shared" si="1"/>
        <v>12.25361528297689</v>
      </c>
      <c r="Q9">
        <f t="shared" si="2"/>
        <v>0.40698194519375425</v>
      </c>
      <c r="R9">
        <f t="shared" si="3"/>
        <v>0.12819233922272655</v>
      </c>
      <c r="S9">
        <f t="shared" si="0"/>
        <v>1.0674743314974932E-2</v>
      </c>
      <c r="T9">
        <f t="shared" si="4"/>
        <v>0</v>
      </c>
      <c r="U9">
        <f t="shared" si="5"/>
        <v>-0.21386593196064341</v>
      </c>
      <c r="V9">
        <f t="shared" si="6"/>
        <v>0</v>
      </c>
      <c r="W9">
        <f t="shared" si="7"/>
        <v>-1.0674743314974932E-2</v>
      </c>
    </row>
    <row r="10" spans="1:34" x14ac:dyDescent="0.2">
      <c r="A10" t="s">
        <v>20</v>
      </c>
      <c r="B10">
        <v>-17.859446124925459</v>
      </c>
      <c r="C10">
        <v>4.3997119568537357E-2</v>
      </c>
      <c r="D10">
        <v>9.7717495085197018E-3</v>
      </c>
      <c r="E10">
        <v>8.1670370051067797E-6</v>
      </c>
      <c r="F10">
        <v>43.79921149819863</v>
      </c>
      <c r="G10">
        <v>0.47607838584998508</v>
      </c>
      <c r="H10">
        <v>0.99999527073703387</v>
      </c>
      <c r="I10">
        <v>357</v>
      </c>
      <c r="J10">
        <v>452</v>
      </c>
      <c r="K10">
        <v>66</v>
      </c>
      <c r="L10">
        <v>314</v>
      </c>
      <c r="M10">
        <v>10</v>
      </c>
      <c r="P10">
        <f t="shared" si="1"/>
        <v>17.859446124925459</v>
      </c>
      <c r="Q10">
        <f t="shared" si="2"/>
        <v>0.24635209435265168</v>
      </c>
      <c r="R10">
        <f t="shared" si="3"/>
        <v>8.3578042990010953E-2</v>
      </c>
      <c r="S10">
        <f t="shared" si="0"/>
        <v>1.0488517168476305E-2</v>
      </c>
      <c r="T10">
        <f t="shared" si="4"/>
        <v>0</v>
      </c>
      <c r="U10">
        <f t="shared" si="5"/>
        <v>-0.31170613746249176</v>
      </c>
      <c r="V10">
        <f t="shared" si="6"/>
        <v>0</v>
      </c>
      <c r="W10">
        <f t="shared" si="7"/>
        <v>-1.0488517168476305E-2</v>
      </c>
    </row>
    <row r="11" spans="1:34" x14ac:dyDescent="0.2">
      <c r="A11" t="s">
        <v>21</v>
      </c>
      <c r="B11">
        <v>21.71638077987507</v>
      </c>
      <c r="C11">
        <v>4.5669175123837391E-2</v>
      </c>
      <c r="D11">
        <v>9.7363835006122959E-3</v>
      </c>
      <c r="E11">
        <v>4.9700545803581837E-5</v>
      </c>
      <c r="F11">
        <v>8.2850693102373718</v>
      </c>
      <c r="G11">
        <v>0.2239207921685776</v>
      </c>
      <c r="H11">
        <v>0.99999980956837031</v>
      </c>
      <c r="I11">
        <v>348</v>
      </c>
      <c r="J11">
        <v>388</v>
      </c>
      <c r="K11">
        <v>204</v>
      </c>
      <c r="L11">
        <v>143</v>
      </c>
      <c r="M11">
        <v>10</v>
      </c>
      <c r="P11">
        <f t="shared" si="1"/>
        <v>21.71638077987507</v>
      </c>
      <c r="Q11">
        <f t="shared" si="2"/>
        <v>0.21029827938069573</v>
      </c>
      <c r="R11">
        <f t="shared" si="3"/>
        <v>0.51046208071463395</v>
      </c>
      <c r="S11">
        <f t="shared" si="0"/>
        <v>1.0453151160568899E-2</v>
      </c>
      <c r="T11">
        <f t="shared" si="4"/>
        <v>0</v>
      </c>
      <c r="U11">
        <f t="shared" si="5"/>
        <v>0.37902234622563391</v>
      </c>
      <c r="V11">
        <f t="shared" si="6"/>
        <v>0</v>
      </c>
      <c r="W11">
        <f t="shared" si="7"/>
        <v>-1.0453151160568899E-2</v>
      </c>
    </row>
    <row r="12" spans="1:34" x14ac:dyDescent="0.2">
      <c r="A12" t="s">
        <v>25</v>
      </c>
      <c r="B12">
        <v>-2.0067333913180572</v>
      </c>
      <c r="C12">
        <v>6.4452665066345505E-2</v>
      </c>
      <c r="D12">
        <v>9.9191262541930662E-3</v>
      </c>
      <c r="E12">
        <v>8.8765902931878864E-6</v>
      </c>
      <c r="F12">
        <v>8483.6958836202593</v>
      </c>
      <c r="G12">
        <v>110.1778686184449</v>
      </c>
      <c r="H12">
        <v>0</v>
      </c>
      <c r="I12">
        <v>141</v>
      </c>
      <c r="J12">
        <v>221</v>
      </c>
      <c r="K12">
        <v>83</v>
      </c>
      <c r="L12">
        <v>267</v>
      </c>
      <c r="M12">
        <v>10</v>
      </c>
      <c r="P12">
        <f>ABS(B12)</f>
        <v>2.0067333913180572</v>
      </c>
      <c r="Q12">
        <f>(C12/ABS(B12))*100</f>
        <v>3.2118200327554165</v>
      </c>
      <c r="R12">
        <f t="shared" si="3"/>
        <v>8.9489639164896467E-2</v>
      </c>
      <c r="S12">
        <f t="shared" si="0"/>
        <v>1.063589391414967E-2</v>
      </c>
      <c r="T12">
        <f t="shared" si="4"/>
        <v>0</v>
      </c>
      <c r="U12">
        <f t="shared" si="5"/>
        <v>-3.5024104888211886E-2</v>
      </c>
      <c r="V12">
        <f t="shared" si="6"/>
        <v>0</v>
      </c>
      <c r="W12">
        <f t="shared" si="7"/>
        <v>-1.063589391414967E-2</v>
      </c>
    </row>
    <row r="13" spans="1:34" x14ac:dyDescent="0.2">
      <c r="A13" t="s">
        <v>26</v>
      </c>
      <c r="B13">
        <v>-15.861226191233669</v>
      </c>
      <c r="C13">
        <v>4.4328880657923619E-2</v>
      </c>
      <c r="D13">
        <v>9.7344468989131513E-3</v>
      </c>
      <c r="E13">
        <v>1.6325463452168088E-5</v>
      </c>
      <c r="F13">
        <v>19.842444708830659</v>
      </c>
      <c r="G13">
        <v>0.34811306506720452</v>
      </c>
      <c r="H13">
        <v>0.99999886613886324</v>
      </c>
      <c r="I13">
        <v>1325</v>
      </c>
      <c r="J13">
        <v>1385</v>
      </c>
      <c r="K13">
        <v>96</v>
      </c>
      <c r="L13">
        <v>318</v>
      </c>
      <c r="M13">
        <v>10</v>
      </c>
      <c r="Q13">
        <f t="shared" ref="Q13:Q20" si="8">(C13/ABS(B13))*100</f>
        <v>0.27947953155364319</v>
      </c>
      <c r="R13">
        <f t="shared" ref="R13:R20" si="9">(E13/ABS(D13))*100</f>
        <v>0.16770817717430686</v>
      </c>
      <c r="S13">
        <f t="shared" si="0"/>
        <v>1.0451214558869755E-2</v>
      </c>
      <c r="T13">
        <f t="shared" si="4"/>
        <v>0</v>
      </c>
      <c r="U13">
        <f t="shared" si="5"/>
        <v>-0.27683062044058726</v>
      </c>
      <c r="V13">
        <f t="shared" si="6"/>
        <v>0</v>
      </c>
      <c r="W13">
        <f t="shared" si="7"/>
        <v>-1.0451214558869755E-2</v>
      </c>
    </row>
    <row r="14" spans="1:34" x14ac:dyDescent="0.2">
      <c r="A14" t="s">
        <v>27</v>
      </c>
      <c r="B14">
        <v>21.999433124040639</v>
      </c>
      <c r="C14">
        <v>3.5209240796159953E-2</v>
      </c>
      <c r="D14">
        <v>9.5035112219932685E-3</v>
      </c>
      <c r="E14">
        <v>1.0457536104991211E-5</v>
      </c>
      <c r="F14">
        <v>35.251901607847778</v>
      </c>
      <c r="G14">
        <v>0.36342166606028642</v>
      </c>
      <c r="H14">
        <v>0.99999999891776037</v>
      </c>
      <c r="I14">
        <v>1543</v>
      </c>
      <c r="J14">
        <v>1643</v>
      </c>
      <c r="K14">
        <v>94</v>
      </c>
      <c r="L14">
        <v>183</v>
      </c>
      <c r="M14">
        <v>10</v>
      </c>
      <c r="P14">
        <f t="shared" ref="P14:P40" si="10">ABS(B14)</f>
        <v>21.999433124040639</v>
      </c>
      <c r="Q14">
        <f t="shared" si="8"/>
        <v>0.16004612754173125</v>
      </c>
      <c r="R14">
        <f t="shared" si="9"/>
        <v>0.11003865687862938</v>
      </c>
      <c r="S14">
        <f t="shared" si="0"/>
        <v>1.0220278881949872E-2</v>
      </c>
      <c r="T14">
        <f t="shared" si="4"/>
        <v>0</v>
      </c>
      <c r="U14">
        <f t="shared" si="5"/>
        <v>0.38396254158681126</v>
      </c>
      <c r="V14">
        <f t="shared" si="6"/>
        <v>0</v>
      </c>
      <c r="W14">
        <f t="shared" si="7"/>
        <v>-1.0220278881949872E-2</v>
      </c>
    </row>
    <row r="15" spans="1:34" x14ac:dyDescent="0.2">
      <c r="A15" t="s">
        <v>13</v>
      </c>
      <c r="B15">
        <v>26.890975189624129</v>
      </c>
      <c r="C15">
        <v>3.6085336754766217E-2</v>
      </c>
      <c r="D15">
        <v>9.3435048139857545E-3</v>
      </c>
      <c r="E15">
        <v>1.293720954825638E-5</v>
      </c>
      <c r="F15">
        <v>26.601014638821081</v>
      </c>
      <c r="G15">
        <v>0.25826227804680663</v>
      </c>
      <c r="H15">
        <v>0.99999999999999845</v>
      </c>
      <c r="I15">
        <v>485</v>
      </c>
      <c r="J15">
        <v>591</v>
      </c>
      <c r="K15">
        <v>60</v>
      </c>
      <c r="L15">
        <v>137</v>
      </c>
      <c r="M15">
        <v>10</v>
      </c>
      <c r="P15">
        <f t="shared" si="10"/>
        <v>26.890975189624129</v>
      </c>
      <c r="Q15">
        <f t="shared" si="8"/>
        <v>0.13419125375821153</v>
      </c>
      <c r="R15">
        <f t="shared" si="9"/>
        <v>0.13846206328155805</v>
      </c>
      <c r="S15">
        <f t="shared" si="0"/>
        <v>1.0060272473942358E-2</v>
      </c>
      <c r="T15">
        <f t="shared" si="4"/>
        <v>0</v>
      </c>
      <c r="U15">
        <f t="shared" si="5"/>
        <v>0.46933605613104756</v>
      </c>
      <c r="V15">
        <f t="shared" si="6"/>
        <v>0</v>
      </c>
      <c r="W15">
        <f t="shared" si="7"/>
        <v>-1.0060272473942358E-2</v>
      </c>
    </row>
    <row r="16" spans="1:34" x14ac:dyDescent="0.2">
      <c r="A16" t="s">
        <v>28</v>
      </c>
      <c r="B16">
        <v>-16.84219301458473</v>
      </c>
      <c r="C16">
        <v>4.4942667097576113E-2</v>
      </c>
      <c r="D16">
        <v>9.6228073892003496E-3</v>
      </c>
      <c r="E16">
        <v>1.2617410851977441E-5</v>
      </c>
      <c r="F16">
        <v>176.88606205712389</v>
      </c>
      <c r="G16">
        <v>2.5635661167699109</v>
      </c>
      <c r="H16">
        <v>2.0058252237843021E-11</v>
      </c>
      <c r="I16">
        <v>408</v>
      </c>
      <c r="J16">
        <v>480</v>
      </c>
      <c r="K16">
        <v>149</v>
      </c>
      <c r="L16">
        <v>297</v>
      </c>
      <c r="M16">
        <v>5</v>
      </c>
      <c r="P16">
        <f t="shared" si="10"/>
        <v>16.84219301458473</v>
      </c>
      <c r="Q16">
        <f t="shared" si="8"/>
        <v>0.26684569556148297</v>
      </c>
      <c r="R16">
        <f t="shared" si="9"/>
        <v>0.13111985246777283</v>
      </c>
      <c r="S16">
        <f t="shared" si="0"/>
        <v>1.0339575049156953E-2</v>
      </c>
      <c r="T16">
        <f t="shared" si="4"/>
        <v>0</v>
      </c>
      <c r="U16">
        <f t="shared" si="5"/>
        <v>-0.29395172136089287</v>
      </c>
      <c r="V16">
        <f t="shared" si="6"/>
        <v>0</v>
      </c>
      <c r="W16">
        <f t="shared" si="7"/>
        <v>-1.0339575049156953E-2</v>
      </c>
    </row>
    <row r="17" spans="1:23" x14ac:dyDescent="0.2">
      <c r="A17" t="s">
        <v>29</v>
      </c>
      <c r="B17">
        <v>5.4581831955649491</v>
      </c>
      <c r="C17">
        <v>4.7846422473152288E-2</v>
      </c>
      <c r="D17">
        <v>9.6214086522600165E-3</v>
      </c>
      <c r="E17">
        <v>4.5296038947972988E-5</v>
      </c>
      <c r="F17">
        <v>34.40381436660158</v>
      </c>
      <c r="G17">
        <v>1.0751191989562989</v>
      </c>
      <c r="H17">
        <v>0.35337856057537148</v>
      </c>
      <c r="I17">
        <v>431</v>
      </c>
      <c r="J17">
        <v>466</v>
      </c>
      <c r="K17">
        <v>168</v>
      </c>
      <c r="L17">
        <v>207</v>
      </c>
      <c r="M17">
        <v>5</v>
      </c>
      <c r="P17">
        <f t="shared" si="10"/>
        <v>5.4581831955649491</v>
      </c>
      <c r="Q17">
        <f t="shared" si="8"/>
        <v>0.87659979078807648</v>
      </c>
      <c r="R17">
        <f t="shared" si="9"/>
        <v>0.4707838590488847</v>
      </c>
      <c r="S17">
        <f t="shared" si="0"/>
        <v>1.033817631221662E-2</v>
      </c>
      <c r="T17">
        <f t="shared" si="4"/>
        <v>0</v>
      </c>
      <c r="U17">
        <f t="shared" si="5"/>
        <v>9.5263267939633925E-2</v>
      </c>
      <c r="V17">
        <f t="shared" si="6"/>
        <v>0</v>
      </c>
      <c r="W17">
        <f t="shared" si="7"/>
        <v>-1.033817631221662E-2</v>
      </c>
    </row>
    <row r="18" spans="1:23" x14ac:dyDescent="0.2">
      <c r="A18" t="s">
        <v>30</v>
      </c>
      <c r="B18">
        <v>7.9438912087010722</v>
      </c>
      <c r="C18">
        <v>4.1360836359896069E-2</v>
      </c>
      <c r="D18">
        <v>1.0739410253401581E-2</v>
      </c>
      <c r="E18">
        <v>1.3974626836595869E-5</v>
      </c>
      <c r="F18">
        <v>61.505085566604471</v>
      </c>
      <c r="G18">
        <v>0.93189523585764356</v>
      </c>
      <c r="H18">
        <v>0.63385510524740829</v>
      </c>
      <c r="I18">
        <v>436</v>
      </c>
      <c r="J18">
        <v>505</v>
      </c>
      <c r="K18">
        <v>98</v>
      </c>
      <c r="L18">
        <v>199</v>
      </c>
      <c r="M18">
        <v>5</v>
      </c>
      <c r="P18">
        <f t="shared" si="10"/>
        <v>7.9438912087010722</v>
      </c>
      <c r="Q18">
        <f t="shared" si="8"/>
        <v>0.52066217012882654</v>
      </c>
      <c r="R18">
        <f t="shared" si="9"/>
        <v>0.130124713618884</v>
      </c>
      <c r="S18">
        <f t="shared" si="0"/>
        <v>1.1456177913358184E-2</v>
      </c>
      <c r="T18">
        <f t="shared" si="4"/>
        <v>0</v>
      </c>
      <c r="U18">
        <f t="shared" si="5"/>
        <v>0.13864705701206573</v>
      </c>
      <c r="V18">
        <f t="shared" si="6"/>
        <v>0</v>
      </c>
      <c r="W18">
        <f t="shared" si="7"/>
        <v>-1.1456177913358184E-2</v>
      </c>
    </row>
    <row r="19" spans="1:23" x14ac:dyDescent="0.2">
      <c r="A19" t="s">
        <v>31</v>
      </c>
      <c r="B19">
        <v>-15.36314426512264</v>
      </c>
      <c r="C19">
        <v>5.0125671387245767E-2</v>
      </c>
      <c r="D19">
        <v>9.4507696402261129E-3</v>
      </c>
      <c r="E19">
        <v>1.632606707929962E-5</v>
      </c>
      <c r="F19">
        <v>17.164861126289129</v>
      </c>
      <c r="G19">
        <v>0.27685259881111501</v>
      </c>
      <c r="H19">
        <v>0.99999999728654987</v>
      </c>
      <c r="I19">
        <v>438</v>
      </c>
      <c r="J19">
        <v>503</v>
      </c>
      <c r="K19">
        <v>36</v>
      </c>
      <c r="L19">
        <v>307</v>
      </c>
      <c r="M19">
        <v>10</v>
      </c>
      <c r="P19">
        <f t="shared" si="10"/>
        <v>15.36314426512264</v>
      </c>
      <c r="Q19">
        <f t="shared" si="8"/>
        <v>0.32627221695132358</v>
      </c>
      <c r="R19">
        <f t="shared" si="9"/>
        <v>0.17274854536512663</v>
      </c>
      <c r="S19">
        <f t="shared" si="0"/>
        <v>1.0167537300182716E-2</v>
      </c>
      <c r="T19">
        <f t="shared" si="4"/>
        <v>0</v>
      </c>
      <c r="U19">
        <f t="shared" si="5"/>
        <v>-0.26813745088527474</v>
      </c>
      <c r="V19">
        <f t="shared" si="6"/>
        <v>0</v>
      </c>
      <c r="W19">
        <f t="shared" si="7"/>
        <v>-1.0167537300182716E-2</v>
      </c>
    </row>
    <row r="20" spans="1:23" x14ac:dyDescent="0.2">
      <c r="A20" t="s">
        <v>32</v>
      </c>
      <c r="B20">
        <v>9.7628410518174267</v>
      </c>
      <c r="C20">
        <v>4.2423449358443222E-2</v>
      </c>
      <c r="D20">
        <v>9.6538369294386587E-3</v>
      </c>
      <c r="E20">
        <v>1.5914791674840759E-5</v>
      </c>
      <c r="F20">
        <v>36.694627384039322</v>
      </c>
      <c r="G20">
        <v>0.59184882877482781</v>
      </c>
      <c r="H20">
        <v>0.99564978870485421</v>
      </c>
      <c r="I20">
        <v>438</v>
      </c>
      <c r="J20">
        <v>503</v>
      </c>
      <c r="K20">
        <v>89</v>
      </c>
      <c r="L20">
        <v>199</v>
      </c>
      <c r="M20">
        <v>10</v>
      </c>
      <c r="P20">
        <f t="shared" si="10"/>
        <v>9.7628410518174267</v>
      </c>
      <c r="Q20">
        <f t="shared" si="8"/>
        <v>0.43453999848277536</v>
      </c>
      <c r="R20">
        <f t="shared" si="9"/>
        <v>0.16485457327655684</v>
      </c>
      <c r="S20">
        <f t="shared" si="0"/>
        <v>1.0370604589395262E-2</v>
      </c>
      <c r="T20">
        <f t="shared" si="4"/>
        <v>0</v>
      </c>
      <c r="U20">
        <f t="shared" si="5"/>
        <v>0.17039372070308043</v>
      </c>
      <c r="V20">
        <f t="shared" si="6"/>
        <v>0</v>
      </c>
      <c r="W20">
        <f t="shared" si="7"/>
        <v>-1.0370604589395262E-2</v>
      </c>
    </row>
    <row r="21" spans="1:23" x14ac:dyDescent="0.2">
      <c r="A21" s="5">
        <v>3594</v>
      </c>
      <c r="B21" s="5">
        <v>4.54570805</v>
      </c>
      <c r="C21" s="5">
        <v>5.2364729999999998E-2</v>
      </c>
      <c r="D21" s="5">
        <v>1.0245550000000001E-2</v>
      </c>
      <c r="E21" s="6">
        <v>9.4582199999999997E-5</v>
      </c>
      <c r="F21" s="5">
        <v>17.773839800000001</v>
      </c>
      <c r="G21" s="5">
        <v>1.0455199900000001</v>
      </c>
      <c r="H21" s="5">
        <v>0.40324122000000001</v>
      </c>
      <c r="I21" s="5">
        <v>617</v>
      </c>
      <c r="J21" s="5">
        <v>637</v>
      </c>
      <c r="K21" s="5">
        <v>217</v>
      </c>
      <c r="L21" s="5">
        <v>206</v>
      </c>
      <c r="M21" s="5">
        <v>8</v>
      </c>
      <c r="N21" s="5"/>
      <c r="O21" s="5"/>
      <c r="P21">
        <f t="shared" si="10"/>
        <v>4.54570805</v>
      </c>
      <c r="Q21">
        <f t="shared" ref="Q21:Q40" si="11">(C21/ABS(B21))*100</f>
        <v>1.1519598140492107</v>
      </c>
      <c r="R21">
        <f t="shared" ref="R21:R40" si="12">(E21/ABS(D21))*100</f>
        <v>0.9231539546437233</v>
      </c>
      <c r="S21">
        <f t="shared" ref="S21:S40" si="13">D21+(2*PI())/(365.25*24)</f>
        <v>1.0962317659956604E-2</v>
      </c>
      <c r="T21">
        <f t="shared" si="4"/>
        <v>-2.8693854403627483E-8</v>
      </c>
      <c r="U21">
        <f t="shared" si="5"/>
        <v>7.9337572306911019E-2</v>
      </c>
      <c r="V21">
        <f t="shared" si="6"/>
        <v>0</v>
      </c>
      <c r="W21">
        <f t="shared" si="7"/>
        <v>-1.0962317659956604E-2</v>
      </c>
    </row>
    <row r="22" spans="1:23" x14ac:dyDescent="0.2">
      <c r="A22" s="5">
        <v>3595</v>
      </c>
      <c r="B22" s="5">
        <v>19.960873599999999</v>
      </c>
      <c r="C22" s="5">
        <v>4.3236789999999997E-2</v>
      </c>
      <c r="D22" s="5">
        <v>9.7090100000000006E-3</v>
      </c>
      <c r="E22" s="6">
        <v>3.1824800000000001E-5</v>
      </c>
      <c r="F22" s="5">
        <v>29.6005258</v>
      </c>
      <c r="G22" s="5">
        <v>0.51930746999999999</v>
      </c>
      <c r="H22" s="5">
        <v>0.99899567</v>
      </c>
      <c r="I22" s="5">
        <v>615</v>
      </c>
      <c r="J22" s="5">
        <v>675</v>
      </c>
      <c r="K22" s="5">
        <v>196</v>
      </c>
      <c r="L22" s="5">
        <v>147</v>
      </c>
      <c r="M22" s="5">
        <v>8</v>
      </c>
      <c r="N22" s="5"/>
      <c r="O22" s="5"/>
      <c r="P22">
        <f t="shared" si="10"/>
        <v>19.960873599999999</v>
      </c>
      <c r="Q22">
        <f t="shared" si="11"/>
        <v>0.21660770398345691</v>
      </c>
      <c r="R22">
        <f t="shared" si="12"/>
        <v>0.32778625215135221</v>
      </c>
      <c r="S22">
        <f t="shared" si="13"/>
        <v>1.0425777659956604E-2</v>
      </c>
      <c r="T22">
        <f t="shared" si="4"/>
        <v>1.9256411576407118E-8</v>
      </c>
      <c r="U22">
        <f t="shared" si="5"/>
        <v>0.34838296589441359</v>
      </c>
      <c r="V22">
        <f t="shared" si="6"/>
        <v>0</v>
      </c>
      <c r="W22">
        <f t="shared" si="7"/>
        <v>-1.0425777659956604E-2</v>
      </c>
    </row>
    <row r="23" spans="1:23" x14ac:dyDescent="0.2">
      <c r="A23" t="s">
        <v>34</v>
      </c>
      <c r="B23">
        <v>19.41613205740849</v>
      </c>
      <c r="C23">
        <v>4.2790031483974637E-2</v>
      </c>
      <c r="D23">
        <v>9.8681391092273821E-3</v>
      </c>
      <c r="E23">
        <v>4.4940691656909982E-5</v>
      </c>
      <c r="F23">
        <v>16.814117020481358</v>
      </c>
      <c r="G23">
        <v>0.42035292551203413</v>
      </c>
      <c r="H23">
        <v>0.99953219949427774</v>
      </c>
      <c r="I23">
        <v>615</v>
      </c>
      <c r="J23">
        <v>658</v>
      </c>
      <c r="K23">
        <v>78</v>
      </c>
      <c r="L23">
        <v>161</v>
      </c>
      <c r="M23">
        <v>10</v>
      </c>
      <c r="P23">
        <f t="shared" si="10"/>
        <v>19.41613205740849</v>
      </c>
      <c r="Q23">
        <f t="shared" si="11"/>
        <v>0.22038391249840886</v>
      </c>
      <c r="R23">
        <f t="shared" si="12"/>
        <v>0.4554120200320988</v>
      </c>
      <c r="S23">
        <f t="shared" si="13"/>
        <v>1.0584906769183985E-2</v>
      </c>
      <c r="T23">
        <f t="shared" si="4"/>
        <v>0</v>
      </c>
      <c r="U23">
        <f t="shared" si="5"/>
        <v>0.3388754324037988</v>
      </c>
      <c r="V23">
        <f t="shared" si="6"/>
        <v>0</v>
      </c>
      <c r="W23">
        <f t="shared" si="7"/>
        <v>-1.0584906769183985E-2</v>
      </c>
    </row>
    <row r="24" spans="1:23" x14ac:dyDescent="0.2">
      <c r="A24" t="s">
        <v>35</v>
      </c>
      <c r="B24">
        <v>15.96056548891568</v>
      </c>
      <c r="C24">
        <v>3.5741569509454507E-2</v>
      </c>
      <c r="D24">
        <v>9.7538440570508027E-3</v>
      </c>
      <c r="E24">
        <v>1.8320271106534921E-5</v>
      </c>
      <c r="F24">
        <v>65.391257910767209</v>
      </c>
      <c r="G24">
        <v>0.90821191542732238</v>
      </c>
      <c r="H24">
        <v>0.69585445094327913</v>
      </c>
      <c r="I24">
        <v>673</v>
      </c>
      <c r="J24">
        <v>748</v>
      </c>
      <c r="K24">
        <v>154</v>
      </c>
      <c r="L24">
        <v>161</v>
      </c>
      <c r="M24">
        <v>10</v>
      </c>
      <c r="P24">
        <f t="shared" si="10"/>
        <v>15.96056548891568</v>
      </c>
      <c r="Q24">
        <f t="shared" si="11"/>
        <v>0.2239367366668579</v>
      </c>
      <c r="R24">
        <f t="shared" si="12"/>
        <v>0.1878261637091857</v>
      </c>
      <c r="S24">
        <f t="shared" si="13"/>
        <v>1.0470611717007406E-2</v>
      </c>
      <c r="T24">
        <f t="shared" si="4"/>
        <v>0</v>
      </c>
      <c r="U24">
        <f t="shared" si="5"/>
        <v>0.27856441826175715</v>
      </c>
      <c r="V24">
        <f t="shared" si="6"/>
        <v>0</v>
      </c>
      <c r="W24">
        <f t="shared" si="7"/>
        <v>-1.0470611717007406E-2</v>
      </c>
    </row>
    <row r="25" spans="1:23" x14ac:dyDescent="0.2">
      <c r="A25" t="s">
        <v>36</v>
      </c>
      <c r="B25">
        <v>13.18615262449199</v>
      </c>
      <c r="C25">
        <v>3.8608519406549753E-2</v>
      </c>
      <c r="D25">
        <v>9.6833088540994317E-3</v>
      </c>
      <c r="E25">
        <v>2.688137878352924E-5</v>
      </c>
      <c r="F25">
        <v>25.396742677743941</v>
      </c>
      <c r="G25">
        <v>0.44555688908322699</v>
      </c>
      <c r="H25">
        <v>0.99990757455891477</v>
      </c>
      <c r="I25">
        <v>673</v>
      </c>
      <c r="J25">
        <v>733</v>
      </c>
      <c r="K25">
        <v>73</v>
      </c>
      <c r="L25">
        <v>182</v>
      </c>
      <c r="M25">
        <v>10</v>
      </c>
      <c r="P25">
        <f t="shared" si="10"/>
        <v>13.18615262449199</v>
      </c>
      <c r="Q25">
        <f t="shared" si="11"/>
        <v>0.29279593908869367</v>
      </c>
      <c r="R25">
        <f t="shared" si="12"/>
        <v>0.2776053019536705</v>
      </c>
      <c r="S25">
        <f t="shared" si="13"/>
        <v>1.0400076514056035E-2</v>
      </c>
      <c r="T25">
        <f t="shared" si="4"/>
        <v>0</v>
      </c>
      <c r="U25">
        <f t="shared" si="5"/>
        <v>0.23014177896787671</v>
      </c>
      <c r="V25">
        <f t="shared" si="6"/>
        <v>0</v>
      </c>
      <c r="W25">
        <f t="shared" si="7"/>
        <v>-1.0400076514056035E-2</v>
      </c>
    </row>
    <row r="26" spans="1:23" x14ac:dyDescent="0.2">
      <c r="A26" t="s">
        <v>37</v>
      </c>
      <c r="B26">
        <v>-14.869079148869091</v>
      </c>
      <c r="C26">
        <v>5.3048717561864578E-2</v>
      </c>
      <c r="D26">
        <v>1.0372591232365801E-2</v>
      </c>
      <c r="E26">
        <v>2.664812823061419E-5</v>
      </c>
      <c r="F26">
        <v>38.523522375277778</v>
      </c>
      <c r="G26">
        <v>1.041176280412913</v>
      </c>
      <c r="H26">
        <v>0.40049446314620663</v>
      </c>
      <c r="I26">
        <v>707</v>
      </c>
      <c r="J26">
        <v>747</v>
      </c>
      <c r="K26">
        <v>141</v>
      </c>
      <c r="L26">
        <v>293</v>
      </c>
      <c r="M26">
        <v>10</v>
      </c>
      <c r="P26">
        <f t="shared" si="10"/>
        <v>14.869079148869091</v>
      </c>
      <c r="Q26">
        <f t="shared" si="11"/>
        <v>0.35677204372067217</v>
      </c>
      <c r="R26">
        <f t="shared" si="12"/>
        <v>0.25690907540503005</v>
      </c>
      <c r="S26">
        <f t="shared" si="13"/>
        <v>1.1089358892322404E-2</v>
      </c>
      <c r="T26">
        <f t="shared" si="4"/>
        <v>0</v>
      </c>
      <c r="U26">
        <f t="shared" si="5"/>
        <v>-0.25951438788740172</v>
      </c>
      <c r="V26">
        <f t="shared" si="6"/>
        <v>0</v>
      </c>
      <c r="W26">
        <f t="shared" si="7"/>
        <v>-1.1089358892322404E-2</v>
      </c>
    </row>
    <row r="27" spans="1:23" x14ac:dyDescent="0.2">
      <c r="A27" t="s">
        <v>39</v>
      </c>
      <c r="B27">
        <v>-1.298099764711212</v>
      </c>
      <c r="C27">
        <v>5.2612129730617241E-2</v>
      </c>
      <c r="D27">
        <v>1.006143985992705E-2</v>
      </c>
      <c r="E27">
        <v>1.729296752744448E-5</v>
      </c>
      <c r="F27">
        <v>56.751852963248567</v>
      </c>
      <c r="G27">
        <v>1.09138178775478</v>
      </c>
      <c r="H27">
        <v>0.30242973820894298</v>
      </c>
      <c r="I27">
        <v>674</v>
      </c>
      <c r="J27">
        <v>729</v>
      </c>
      <c r="K27">
        <v>119</v>
      </c>
      <c r="L27">
        <v>287</v>
      </c>
      <c r="M27">
        <v>10</v>
      </c>
      <c r="P27">
        <f t="shared" ref="P27:P39" si="14">ABS(B27)</f>
        <v>1.298099764711212</v>
      </c>
      <c r="Q27">
        <f t="shared" ref="Q27:Q39" si="15">(C27/ABS(B27))*100</f>
        <v>4.0530112677681478</v>
      </c>
      <c r="R27">
        <f t="shared" ref="R27:R39" si="16">(E27/ABS(D27))*100</f>
        <v>0.17187368575664141</v>
      </c>
      <c r="S27">
        <f t="shared" ref="S27:S39" si="17">D27+(2*PI())/(365.25*24)</f>
        <v>1.0778207519883653E-2</v>
      </c>
      <c r="T27">
        <f t="shared" si="4"/>
        <v>0</v>
      </c>
      <c r="U27">
        <f t="shared" si="5"/>
        <v>-2.265611491357435E-2</v>
      </c>
      <c r="V27">
        <f t="shared" si="6"/>
        <v>0</v>
      </c>
      <c r="W27">
        <f t="shared" si="7"/>
        <v>-1.0778207519883653E-2</v>
      </c>
    </row>
    <row r="28" spans="1:23" x14ac:dyDescent="0.2">
      <c r="A28" t="s">
        <v>40</v>
      </c>
      <c r="B28">
        <v>-18.664557336481121</v>
      </c>
      <c r="C28">
        <v>6.0187692897397227E-2</v>
      </c>
      <c r="D28">
        <v>9.9983391507657282E-3</v>
      </c>
      <c r="E28">
        <v>1.598697576290937E-4</v>
      </c>
      <c r="F28">
        <v>15.582816616024591</v>
      </c>
      <c r="G28">
        <v>0.97392603850153714</v>
      </c>
      <c r="H28">
        <v>0.48243646811318008</v>
      </c>
      <c r="I28">
        <v>705</v>
      </c>
      <c r="J28">
        <v>724</v>
      </c>
      <c r="K28">
        <v>199</v>
      </c>
      <c r="L28">
        <v>304</v>
      </c>
      <c r="M28">
        <v>3</v>
      </c>
      <c r="P28">
        <f t="shared" si="14"/>
        <v>18.664557336481121</v>
      </c>
      <c r="Q28">
        <f t="shared" si="15"/>
        <v>0.32247050820624806</v>
      </c>
      <c r="R28">
        <f t="shared" si="16"/>
        <v>1.5989631399616004</v>
      </c>
      <c r="S28">
        <f t="shared" si="17"/>
        <v>1.0715106810722332E-2</v>
      </c>
      <c r="T28">
        <f t="shared" si="4"/>
        <v>0</v>
      </c>
      <c r="U28">
        <f t="shared" si="5"/>
        <v>-0.32575797894885872</v>
      </c>
      <c r="V28">
        <f t="shared" si="6"/>
        <v>0</v>
      </c>
      <c r="W28">
        <f t="shared" si="7"/>
        <v>-1.0715106810722332E-2</v>
      </c>
    </row>
    <row r="29" spans="1:23" x14ac:dyDescent="0.2">
      <c r="A29" t="s">
        <v>42</v>
      </c>
      <c r="B29">
        <v>-17.004092003572719</v>
      </c>
      <c r="C29">
        <v>5.870665394647645E-2</v>
      </c>
      <c r="D29">
        <v>9.9802287774864475E-3</v>
      </c>
      <c r="E29">
        <v>1.2467237883797281E-4</v>
      </c>
      <c r="F29">
        <v>7.6971130123355138</v>
      </c>
      <c r="G29">
        <v>0.48106956327096961</v>
      </c>
      <c r="H29">
        <v>0.95737605044322749</v>
      </c>
      <c r="I29">
        <v>777</v>
      </c>
      <c r="J29">
        <v>796</v>
      </c>
      <c r="K29">
        <v>228</v>
      </c>
      <c r="L29">
        <v>296</v>
      </c>
      <c r="M29">
        <v>10</v>
      </c>
      <c r="P29">
        <f t="shared" si="14"/>
        <v>17.004092003572719</v>
      </c>
      <c r="Q29">
        <f t="shared" si="15"/>
        <v>0.3452501546930094</v>
      </c>
      <c r="R29">
        <f t="shared" si="16"/>
        <v>1.2491935968362835</v>
      </c>
      <c r="S29">
        <f t="shared" si="17"/>
        <v>1.0696996437443051E-2</v>
      </c>
      <c r="T29">
        <f t="shared" si="4"/>
        <v>0</v>
      </c>
      <c r="U29">
        <f t="shared" si="5"/>
        <v>-0.29677739177438334</v>
      </c>
      <c r="V29">
        <f t="shared" si="6"/>
        <v>0</v>
      </c>
      <c r="W29">
        <f t="shared" si="7"/>
        <v>-1.0696996437443051E-2</v>
      </c>
    </row>
    <row r="30" spans="1:23" x14ac:dyDescent="0.2">
      <c r="A30" t="s">
        <v>43</v>
      </c>
      <c r="B30">
        <v>27.971655896592761</v>
      </c>
      <c r="C30">
        <v>5.5777104032923568E-2</v>
      </c>
      <c r="D30">
        <v>9.1267201915150812E-3</v>
      </c>
      <c r="E30">
        <v>5.4781182472852301E-5</v>
      </c>
      <c r="F30">
        <v>10.02274118114644</v>
      </c>
      <c r="G30">
        <v>0.20045482362292891</v>
      </c>
      <c r="H30">
        <v>0.99999999983252008</v>
      </c>
      <c r="I30">
        <v>777</v>
      </c>
      <c r="J30">
        <v>830</v>
      </c>
      <c r="K30">
        <v>84</v>
      </c>
      <c r="L30">
        <v>128</v>
      </c>
      <c r="M30">
        <v>10</v>
      </c>
      <c r="P30">
        <f t="shared" si="14"/>
        <v>27.971655896592761</v>
      </c>
      <c r="Q30">
        <f t="shared" si="15"/>
        <v>0.19940579935318667</v>
      </c>
      <c r="R30">
        <f t="shared" si="16"/>
        <v>0.6002285741572444</v>
      </c>
      <c r="S30">
        <f t="shared" si="17"/>
        <v>9.8434878514716845E-3</v>
      </c>
      <c r="T30">
        <f t="shared" si="4"/>
        <v>0</v>
      </c>
      <c r="U30">
        <f t="shared" si="5"/>
        <v>0.48819749263043022</v>
      </c>
      <c r="V30">
        <f t="shared" si="6"/>
        <v>0</v>
      </c>
      <c r="W30">
        <f t="shared" si="7"/>
        <v>-9.8434878514716845E-3</v>
      </c>
    </row>
    <row r="31" spans="1:23" x14ac:dyDescent="0.2">
      <c r="A31" t="s">
        <v>44</v>
      </c>
      <c r="B31">
        <v>16.7942551795051</v>
      </c>
      <c r="C31">
        <v>6.9209890678443742E-2</v>
      </c>
      <c r="D31">
        <v>9.8871132896509555E-3</v>
      </c>
      <c r="E31">
        <v>2.5863175517996169E-4</v>
      </c>
      <c r="F31">
        <v>3.6725383610851798</v>
      </c>
      <c r="G31">
        <v>0.20402990894917669</v>
      </c>
      <c r="H31">
        <v>0.99987281171286269</v>
      </c>
      <c r="I31">
        <v>836</v>
      </c>
      <c r="J31">
        <v>857</v>
      </c>
      <c r="K31">
        <v>241</v>
      </c>
      <c r="L31">
        <v>157</v>
      </c>
      <c r="M31">
        <v>10</v>
      </c>
      <c r="P31">
        <f t="shared" si="14"/>
        <v>16.7942551795051</v>
      </c>
      <c r="Q31">
        <f t="shared" si="15"/>
        <v>0.41210455562747522</v>
      </c>
      <c r="R31">
        <f t="shared" si="16"/>
        <v>2.6158469879239359</v>
      </c>
      <c r="S31">
        <f t="shared" si="17"/>
        <v>1.0603880949607559E-2</v>
      </c>
      <c r="T31">
        <f t="shared" si="4"/>
        <v>0</v>
      </c>
      <c r="U31">
        <f t="shared" si="5"/>
        <v>0.29311504830247531</v>
      </c>
      <c r="V31">
        <f t="shared" si="6"/>
        <v>0</v>
      </c>
      <c r="W31">
        <f t="shared" si="7"/>
        <v>-1.0603880949607559E-2</v>
      </c>
    </row>
    <row r="32" spans="1:23" x14ac:dyDescent="0.2">
      <c r="A32" t="s">
        <v>45</v>
      </c>
      <c r="B32">
        <v>17.591382877249799</v>
      </c>
      <c r="C32">
        <v>3.7446717288844411E-2</v>
      </c>
      <c r="D32">
        <v>1.0057905634004379E-2</v>
      </c>
      <c r="E32">
        <v>1.1687031899785541E-5</v>
      </c>
      <c r="F32">
        <v>67.561972010913706</v>
      </c>
      <c r="G32">
        <v>0.75912328102150228</v>
      </c>
      <c r="H32">
        <v>0.95605548743067514</v>
      </c>
      <c r="I32">
        <v>836</v>
      </c>
      <c r="J32">
        <v>928</v>
      </c>
      <c r="K32">
        <v>44</v>
      </c>
      <c r="L32">
        <v>176</v>
      </c>
      <c r="M32">
        <v>10</v>
      </c>
      <c r="P32">
        <f t="shared" ref="P32:P34" si="18">ABS(B32)</f>
        <v>17.591382877249799</v>
      </c>
      <c r="Q32">
        <f t="shared" ref="Q32:Q34" si="19">(C32/ABS(B32))*100</f>
        <v>0.21286966209616578</v>
      </c>
      <c r="R32">
        <f t="shared" ref="R32:R34" si="20">(E32/ABS(D32))*100</f>
        <v>0.11619747017980873</v>
      </c>
      <c r="S32">
        <f t="shared" ref="S32:S34" si="21">D32+(2*PI())/(365.25*24)</f>
        <v>1.0774673293960983E-2</v>
      </c>
      <c r="T32">
        <f t="shared" si="4"/>
        <v>0</v>
      </c>
      <c r="U32">
        <f t="shared" si="5"/>
        <v>0.30702755118696251</v>
      </c>
      <c r="V32">
        <f t="shared" si="6"/>
        <v>0</v>
      </c>
      <c r="W32">
        <f t="shared" si="7"/>
        <v>-1.0774673293960983E-2</v>
      </c>
    </row>
    <row r="33" spans="1:23" x14ac:dyDescent="0.2">
      <c r="A33" t="s">
        <v>46</v>
      </c>
      <c r="B33">
        <v>17.609862056005241</v>
      </c>
      <c r="C33">
        <v>3.9117018129118719E-2</v>
      </c>
      <c r="D33">
        <v>1.004732388200697E-2</v>
      </c>
      <c r="E33">
        <v>1.5597566417035542E-5</v>
      </c>
      <c r="F33">
        <v>31.313295813341391</v>
      </c>
      <c r="G33">
        <v>0.48927024708345929</v>
      </c>
      <c r="H33">
        <v>0.99980905926313013</v>
      </c>
      <c r="I33">
        <v>854</v>
      </c>
      <c r="J33">
        <v>921</v>
      </c>
      <c r="K33">
        <v>81</v>
      </c>
      <c r="L33">
        <v>159</v>
      </c>
      <c r="M33">
        <v>10</v>
      </c>
      <c r="P33">
        <f t="shared" si="18"/>
        <v>17.609862056005241</v>
      </c>
      <c r="Q33">
        <f t="shared" si="19"/>
        <v>0.22213131485478727</v>
      </c>
      <c r="R33">
        <f t="shared" si="20"/>
        <v>0.15524100347723541</v>
      </c>
      <c r="S33">
        <f t="shared" si="21"/>
        <v>1.0764091541963573E-2</v>
      </c>
      <c r="T33">
        <f t="shared" si="4"/>
        <v>0</v>
      </c>
      <c r="U33">
        <f t="shared" si="5"/>
        <v>0.30735007369930956</v>
      </c>
      <c r="V33">
        <f t="shared" si="6"/>
        <v>0</v>
      </c>
      <c r="W33">
        <f t="shared" si="7"/>
        <v>-1.0764091541963573E-2</v>
      </c>
    </row>
    <row r="34" spans="1:23" x14ac:dyDescent="0.2">
      <c r="A34" t="s">
        <v>47</v>
      </c>
      <c r="B34">
        <v>-0.13756791967025681</v>
      </c>
      <c r="C34">
        <v>5.232440934465224E-2</v>
      </c>
      <c r="D34">
        <v>9.4126005347733421E-3</v>
      </c>
      <c r="E34">
        <v>1.8429929003854129E-5</v>
      </c>
      <c r="F34">
        <v>6.5088234191018133</v>
      </c>
      <c r="G34">
        <v>0.15136798649073979</v>
      </c>
      <c r="H34">
        <v>0.99999999998027411</v>
      </c>
      <c r="I34">
        <v>867</v>
      </c>
      <c r="J34">
        <v>913</v>
      </c>
      <c r="K34">
        <v>128</v>
      </c>
      <c r="L34">
        <v>287</v>
      </c>
      <c r="M34">
        <v>10</v>
      </c>
      <c r="P34">
        <f t="shared" si="18"/>
        <v>0.13756791967025681</v>
      </c>
      <c r="Q34">
        <f t="shared" si="19"/>
        <v>38.035327909349178</v>
      </c>
      <c r="R34">
        <f t="shared" si="20"/>
        <v>0.19580060723673243</v>
      </c>
      <c r="S34">
        <f t="shared" si="21"/>
        <v>1.0129368194729945E-2</v>
      </c>
      <c r="T34">
        <f t="shared" si="4"/>
        <v>0</v>
      </c>
      <c r="U34">
        <f t="shared" si="5"/>
        <v>-2.4010131433650534E-3</v>
      </c>
      <c r="V34">
        <f t="shared" si="6"/>
        <v>0</v>
      </c>
      <c r="W34">
        <f t="shared" si="7"/>
        <v>-1.0129368194729945E-2</v>
      </c>
    </row>
    <row r="35" spans="1:23" x14ac:dyDescent="0.2">
      <c r="A35" t="s">
        <v>48</v>
      </c>
      <c r="B35">
        <v>7.2281622923948916</v>
      </c>
      <c r="C35">
        <v>4.5461606130973387E-2</v>
      </c>
      <c r="D35">
        <v>9.7573180876705124E-3</v>
      </c>
      <c r="E35">
        <v>2.0211422832463619E-5</v>
      </c>
      <c r="F35">
        <v>79.975496387056296</v>
      </c>
      <c r="G35">
        <v>0.97531093154946702</v>
      </c>
      <c r="H35">
        <v>0.54268939282510487</v>
      </c>
      <c r="I35">
        <v>950</v>
      </c>
      <c r="J35">
        <v>1035</v>
      </c>
      <c r="K35">
        <v>39</v>
      </c>
      <c r="L35">
        <v>215</v>
      </c>
      <c r="M35">
        <v>2</v>
      </c>
      <c r="P35">
        <f t="shared" si="14"/>
        <v>7.2281622923948916</v>
      </c>
      <c r="Q35">
        <f t="shared" si="15"/>
        <v>0.62895109838369012</v>
      </c>
      <c r="R35">
        <f t="shared" si="16"/>
        <v>0.20714116984669245</v>
      </c>
      <c r="S35">
        <f t="shared" si="17"/>
        <v>1.0474085747627116E-2</v>
      </c>
      <c r="T35">
        <f t="shared" si="4"/>
        <v>0</v>
      </c>
      <c r="U35">
        <f t="shared" si="5"/>
        <v>0.12615523087079195</v>
      </c>
      <c r="V35">
        <f t="shared" si="6"/>
        <v>0</v>
      </c>
      <c r="W35">
        <f t="shared" si="7"/>
        <v>-1.0474085747627116E-2</v>
      </c>
    </row>
    <row r="36" spans="1:23" x14ac:dyDescent="0.2">
      <c r="A36" t="s">
        <v>49</v>
      </c>
      <c r="B36">
        <v>-3.68544684938768</v>
      </c>
      <c r="C36">
        <v>7.5452971575030947E-2</v>
      </c>
      <c r="D36">
        <v>9.7476300831024487E-3</v>
      </c>
      <c r="E36">
        <v>1.011880263755406E-5</v>
      </c>
      <c r="F36">
        <v>581.85798580527023</v>
      </c>
      <c r="G36">
        <v>7.5565972182502623</v>
      </c>
      <c r="H36">
        <v>1.4984275453953081E-78</v>
      </c>
      <c r="I36">
        <v>1045</v>
      </c>
      <c r="J36">
        <v>1125</v>
      </c>
      <c r="K36">
        <v>150</v>
      </c>
      <c r="L36">
        <v>267</v>
      </c>
      <c r="M36">
        <v>5</v>
      </c>
      <c r="P36">
        <f t="shared" si="14"/>
        <v>3.68544684938768</v>
      </c>
      <c r="Q36">
        <f t="shared" si="15"/>
        <v>2.0473222015823427</v>
      </c>
      <c r="R36">
        <f t="shared" si="16"/>
        <v>0.10380782355595378</v>
      </c>
      <c r="S36">
        <f t="shared" si="17"/>
        <v>1.0464397743059052E-2</v>
      </c>
      <c r="T36">
        <f t="shared" si="4"/>
        <v>0</v>
      </c>
      <c r="U36">
        <f t="shared" si="5"/>
        <v>-6.4323181929066581E-2</v>
      </c>
      <c r="V36">
        <f t="shared" si="6"/>
        <v>0</v>
      </c>
      <c r="W36">
        <f t="shared" si="7"/>
        <v>-1.0464397743059052E-2</v>
      </c>
    </row>
    <row r="37" spans="1:23" x14ac:dyDescent="0.2">
      <c r="A37" t="s">
        <v>50</v>
      </c>
      <c r="B37">
        <v>25.430816351659381</v>
      </c>
      <c r="C37">
        <v>3.9219999475321288E-2</v>
      </c>
      <c r="D37">
        <v>9.5157010064791745E-3</v>
      </c>
      <c r="E37">
        <v>2.76215812900637E-5</v>
      </c>
      <c r="F37">
        <v>24.61018213165557</v>
      </c>
      <c r="G37">
        <v>0.33257002880615638</v>
      </c>
      <c r="H37">
        <v>0.99999998957933423</v>
      </c>
      <c r="I37">
        <v>1062</v>
      </c>
      <c r="J37">
        <v>1139</v>
      </c>
      <c r="K37">
        <v>201</v>
      </c>
      <c r="L37">
        <v>133</v>
      </c>
      <c r="M37">
        <v>20</v>
      </c>
      <c r="P37">
        <f t="shared" si="14"/>
        <v>25.430816351659381</v>
      </c>
      <c r="Q37">
        <f t="shared" si="15"/>
        <v>0.15422233770628505</v>
      </c>
      <c r="R37">
        <f t="shared" si="16"/>
        <v>0.29027374095987629</v>
      </c>
      <c r="S37">
        <f t="shared" si="17"/>
        <v>1.0232468666435778E-2</v>
      </c>
      <c r="T37">
        <f t="shared" si="4"/>
        <v>0</v>
      </c>
      <c r="U37">
        <f t="shared" si="5"/>
        <v>0.4438514768064683</v>
      </c>
      <c r="V37">
        <f t="shared" si="6"/>
        <v>0</v>
      </c>
      <c r="W37">
        <f t="shared" si="7"/>
        <v>-1.0232468666435778E-2</v>
      </c>
    </row>
    <row r="38" spans="1:23" x14ac:dyDescent="0.2">
      <c r="A38" t="s">
        <v>51</v>
      </c>
      <c r="B38">
        <v>20.45071011103078</v>
      </c>
      <c r="C38">
        <v>4.6831674928093037E-2</v>
      </c>
      <c r="D38">
        <v>9.8773691681634038E-3</v>
      </c>
      <c r="E38">
        <v>5.0771928863472628E-5</v>
      </c>
      <c r="F38">
        <v>13.14554231866661</v>
      </c>
      <c r="G38">
        <v>0.31298910282539538</v>
      </c>
      <c r="H38">
        <v>0.99999423455287306</v>
      </c>
      <c r="I38">
        <v>1062</v>
      </c>
      <c r="J38">
        <v>1107</v>
      </c>
      <c r="K38">
        <v>100</v>
      </c>
      <c r="L38">
        <v>154</v>
      </c>
      <c r="M38">
        <v>10</v>
      </c>
      <c r="P38">
        <f t="shared" si="14"/>
        <v>20.45071011103078</v>
      </c>
      <c r="Q38">
        <f t="shared" si="15"/>
        <v>0.22899779359168948</v>
      </c>
      <c r="R38">
        <f t="shared" si="16"/>
        <v>0.51402279290238528</v>
      </c>
      <c r="S38">
        <f t="shared" si="17"/>
        <v>1.0594136828120007E-2</v>
      </c>
      <c r="T38">
        <f t="shared" si="4"/>
        <v>0</v>
      </c>
      <c r="U38">
        <f t="shared" si="5"/>
        <v>0.35693222580838224</v>
      </c>
      <c r="V38">
        <f t="shared" si="6"/>
        <v>0</v>
      </c>
      <c r="W38">
        <f t="shared" si="7"/>
        <v>-1.0594136828120007E-2</v>
      </c>
    </row>
    <row r="39" spans="1:23" x14ac:dyDescent="0.2">
      <c r="A39" t="s">
        <v>52</v>
      </c>
      <c r="B39">
        <v>9.9247886721036025</v>
      </c>
      <c r="C39">
        <v>5.6675425216273112E-2</v>
      </c>
      <c r="D39">
        <v>1.048563112040583E-2</v>
      </c>
      <c r="E39">
        <v>7.8231996823941469E-5</v>
      </c>
      <c r="F39">
        <v>4.1932276645557183</v>
      </c>
      <c r="G39">
        <v>0.18231424628503121</v>
      </c>
      <c r="H39">
        <v>0.99999463964322588</v>
      </c>
      <c r="I39">
        <v>1106</v>
      </c>
      <c r="J39">
        <v>1132</v>
      </c>
      <c r="K39">
        <v>225</v>
      </c>
      <c r="L39">
        <v>191</v>
      </c>
      <c r="M39">
        <v>10</v>
      </c>
      <c r="P39">
        <f t="shared" si="14"/>
        <v>9.9247886721036025</v>
      </c>
      <c r="Q39">
        <f t="shared" si="15"/>
        <v>0.57104918894218137</v>
      </c>
      <c r="R39">
        <f t="shared" si="16"/>
        <v>0.74608763102200015</v>
      </c>
      <c r="S39">
        <f t="shared" si="17"/>
        <v>1.1202398780362433E-2</v>
      </c>
      <c r="T39">
        <f t="shared" si="4"/>
        <v>0</v>
      </c>
      <c r="U39">
        <f t="shared" si="5"/>
        <v>0.17322023989284377</v>
      </c>
      <c r="V39">
        <f t="shared" si="6"/>
        <v>0</v>
      </c>
      <c r="W39">
        <f t="shared" si="7"/>
        <v>-1.1202398780362433E-2</v>
      </c>
    </row>
    <row r="40" spans="1:23" x14ac:dyDescent="0.2">
      <c r="A40" t="s">
        <v>53</v>
      </c>
      <c r="B40">
        <v>12.737745094781969</v>
      </c>
      <c r="C40">
        <v>5.2798955983558223E-2</v>
      </c>
      <c r="D40">
        <v>9.3185065164535699E-3</v>
      </c>
      <c r="E40">
        <v>9.0278231844364228E-5</v>
      </c>
      <c r="F40">
        <v>2.7484649808509949</v>
      </c>
      <c r="G40">
        <v>0.11949847742830411</v>
      </c>
      <c r="H40">
        <v>0.99999991969300972</v>
      </c>
      <c r="I40">
        <v>1106</v>
      </c>
      <c r="J40">
        <v>1132</v>
      </c>
      <c r="K40">
        <v>205</v>
      </c>
      <c r="L40">
        <v>184</v>
      </c>
      <c r="M40">
        <v>10</v>
      </c>
      <c r="P40">
        <f t="shared" si="10"/>
        <v>12.737745094781969</v>
      </c>
      <c r="Q40">
        <f t="shared" si="11"/>
        <v>0.41450787082548368</v>
      </c>
      <c r="R40">
        <f t="shared" si="12"/>
        <v>0.96880580257105664</v>
      </c>
      <c r="S40">
        <f t="shared" si="13"/>
        <v>1.0035274176410173E-2</v>
      </c>
      <c r="T40">
        <f t="shared" si="4"/>
        <v>0</v>
      </c>
      <c r="U40">
        <f t="shared" si="5"/>
        <v>0.22231559118370256</v>
      </c>
      <c r="V40">
        <f t="shared" si="6"/>
        <v>0</v>
      </c>
      <c r="W40">
        <f t="shared" si="7"/>
        <v>-1.0035274176410173E-2</v>
      </c>
    </row>
    <row r="41" spans="1:23" x14ac:dyDescent="0.2">
      <c r="A41" t="s">
        <v>54</v>
      </c>
      <c r="B41">
        <v>-20.651268644966081</v>
      </c>
      <c r="C41">
        <v>4.0892212461848487E-2</v>
      </c>
      <c r="D41">
        <v>9.5998210239733508E-3</v>
      </c>
      <c r="E41">
        <v>1.6726557083187149E-5</v>
      </c>
      <c r="F41">
        <v>8.3399791231326788</v>
      </c>
      <c r="G41">
        <v>0.14631542321285401</v>
      </c>
      <c r="H41">
        <v>0.99999999999999478</v>
      </c>
      <c r="I41">
        <v>1106</v>
      </c>
      <c r="J41">
        <v>1166</v>
      </c>
      <c r="K41">
        <v>141</v>
      </c>
      <c r="L41">
        <v>321</v>
      </c>
      <c r="M41">
        <v>10</v>
      </c>
      <c r="P41">
        <f t="shared" ref="P41:P66" si="22">ABS(B41)</f>
        <v>20.651268644966081</v>
      </c>
      <c r="Q41">
        <f t="shared" ref="Q41:Q66" si="23">(C41/ABS(B41))*100</f>
        <v>0.19801307689547831</v>
      </c>
      <c r="R41">
        <f t="shared" ref="R41:R66" si="24">(E41/ABS(D41))*100</f>
        <v>0.17423821799819403</v>
      </c>
      <c r="S41">
        <f t="shared" ref="S41:S66" si="25">D41+(2*PI())/(365.25*24)</f>
        <v>1.0316588683929954E-2</v>
      </c>
      <c r="T41">
        <f t="shared" si="4"/>
        <v>0</v>
      </c>
      <c r="U41">
        <f t="shared" si="5"/>
        <v>-0.36043263256852603</v>
      </c>
      <c r="V41">
        <f t="shared" si="6"/>
        <v>0</v>
      </c>
      <c r="W41">
        <f t="shared" si="7"/>
        <v>-1.0316588683929954E-2</v>
      </c>
    </row>
    <row r="42" spans="1:23" x14ac:dyDescent="0.2">
      <c r="A42" t="s">
        <v>55</v>
      </c>
      <c r="B42">
        <v>-17.533345251078</v>
      </c>
      <c r="C42">
        <v>5.1414841019926882E-2</v>
      </c>
      <c r="D42">
        <v>1.041068083983857E-2</v>
      </c>
      <c r="E42">
        <v>6.0159819872991707E-5</v>
      </c>
      <c r="F42">
        <v>22.870701328054039</v>
      </c>
      <c r="G42">
        <v>0.87964235877130925</v>
      </c>
      <c r="H42">
        <v>0.6402513283234389</v>
      </c>
      <c r="I42">
        <v>1123</v>
      </c>
      <c r="J42">
        <v>1152</v>
      </c>
      <c r="K42">
        <v>161</v>
      </c>
      <c r="L42">
        <v>306</v>
      </c>
      <c r="M42">
        <v>10</v>
      </c>
      <c r="P42">
        <f t="shared" si="22"/>
        <v>17.533345251078</v>
      </c>
      <c r="Q42">
        <f t="shared" si="23"/>
        <v>0.29324033881535383</v>
      </c>
      <c r="R42">
        <f t="shared" si="24"/>
        <v>0.57786633553089073</v>
      </c>
      <c r="S42">
        <f t="shared" si="25"/>
        <v>1.1127448499795174E-2</v>
      </c>
      <c r="T42">
        <f t="shared" si="4"/>
        <v>0</v>
      </c>
      <c r="U42">
        <f t="shared" si="5"/>
        <v>-0.30601460352022297</v>
      </c>
      <c r="V42">
        <f t="shared" si="6"/>
        <v>0</v>
      </c>
      <c r="W42">
        <f t="shared" si="7"/>
        <v>-1.1127448499795174E-2</v>
      </c>
    </row>
    <row r="43" spans="1:23" x14ac:dyDescent="0.2">
      <c r="A43" t="s">
        <v>56</v>
      </c>
      <c r="B43">
        <v>26.92792738155164</v>
      </c>
      <c r="C43">
        <v>4.7169626833539979E-2</v>
      </c>
      <c r="D43">
        <v>9.4476522708322967E-3</v>
      </c>
      <c r="E43">
        <v>4.7445790888980687E-5</v>
      </c>
      <c r="F43">
        <v>11.47830332303943</v>
      </c>
      <c r="G43">
        <v>0.28695758307598568</v>
      </c>
      <c r="H43">
        <v>0.99999728108432862</v>
      </c>
      <c r="I43">
        <v>1123</v>
      </c>
      <c r="J43">
        <v>1166</v>
      </c>
      <c r="K43">
        <v>143</v>
      </c>
      <c r="L43">
        <v>142</v>
      </c>
      <c r="M43">
        <v>10</v>
      </c>
      <c r="P43">
        <f t="shared" si="22"/>
        <v>26.92792738155164</v>
      </c>
      <c r="Q43">
        <f t="shared" si="23"/>
        <v>0.17516991250450248</v>
      </c>
      <c r="R43">
        <f t="shared" si="24"/>
        <v>0.50219662545646304</v>
      </c>
      <c r="S43">
        <f t="shared" si="25"/>
        <v>1.01644199307889E-2</v>
      </c>
      <c r="T43">
        <f t="shared" si="4"/>
        <v>0</v>
      </c>
      <c r="U43">
        <f t="shared" si="5"/>
        <v>0.46998099354601147</v>
      </c>
      <c r="V43">
        <f t="shared" si="6"/>
        <v>0</v>
      </c>
      <c r="W43">
        <f t="shared" si="7"/>
        <v>-1.01644199307889E-2</v>
      </c>
    </row>
    <row r="44" spans="1:23" x14ac:dyDescent="0.2">
      <c r="A44" t="s">
        <v>57</v>
      </c>
      <c r="B44">
        <v>30.648337552426849</v>
      </c>
      <c r="C44">
        <v>5.5492638349765137E-2</v>
      </c>
      <c r="D44">
        <v>9.1191376409349486E-3</v>
      </c>
      <c r="E44">
        <v>7.9809844338809882E-5</v>
      </c>
      <c r="F44">
        <v>6.2238751280217617</v>
      </c>
      <c r="G44">
        <v>0.16821284129788541</v>
      </c>
      <c r="H44">
        <v>0.9999999974795134</v>
      </c>
      <c r="I44">
        <v>1123</v>
      </c>
      <c r="J44">
        <v>1163</v>
      </c>
      <c r="K44">
        <v>124</v>
      </c>
      <c r="L44">
        <v>120</v>
      </c>
      <c r="M44">
        <v>5</v>
      </c>
      <c r="P44">
        <f t="shared" si="22"/>
        <v>30.648337552426849</v>
      </c>
      <c r="Q44">
        <f t="shared" si="23"/>
        <v>0.18106247444853996</v>
      </c>
      <c r="R44">
        <f t="shared" si="24"/>
        <v>0.87519069764394186</v>
      </c>
      <c r="S44">
        <f t="shared" si="25"/>
        <v>9.8359053008915519E-3</v>
      </c>
      <c r="T44">
        <f t="shared" si="4"/>
        <v>0</v>
      </c>
      <c r="U44">
        <f t="shared" si="5"/>
        <v>0.53491440055246875</v>
      </c>
      <c r="V44">
        <f t="shared" si="6"/>
        <v>0</v>
      </c>
      <c r="W44">
        <f t="shared" si="7"/>
        <v>-9.8359053008915519E-3</v>
      </c>
    </row>
    <row r="45" spans="1:23" x14ac:dyDescent="0.2">
      <c r="A45" s="5">
        <v>3644</v>
      </c>
      <c r="B45" s="5">
        <v>11.803536299999999</v>
      </c>
      <c r="C45" s="5">
        <v>0.14599023</v>
      </c>
      <c r="D45" s="5">
        <v>9.5216799999999994E-3</v>
      </c>
      <c r="E45" s="5">
        <v>5.2169900000000003E-4</v>
      </c>
      <c r="F45" s="5">
        <v>2.9104879700000001</v>
      </c>
      <c r="G45" s="5">
        <v>0.41578399999999999</v>
      </c>
      <c r="H45" s="5">
        <v>0.89315745999999996</v>
      </c>
      <c r="I45" s="5">
        <v>1169</v>
      </c>
      <c r="J45" s="5">
        <v>1179</v>
      </c>
      <c r="K45" s="5">
        <v>246</v>
      </c>
      <c r="L45" s="5">
        <v>187</v>
      </c>
      <c r="M45" s="5">
        <v>8</v>
      </c>
      <c r="N45" s="5"/>
      <c r="O45" s="5"/>
      <c r="P45">
        <f t="shared" si="22"/>
        <v>11.803536299999999</v>
      </c>
      <c r="Q45">
        <f t="shared" si="23"/>
        <v>1.2368346764011731</v>
      </c>
      <c r="R45">
        <f t="shared" si="24"/>
        <v>5.479064618848775</v>
      </c>
      <c r="S45">
        <f t="shared" si="25"/>
        <v>1.0238447659956603E-2</v>
      </c>
      <c r="T45">
        <f t="shared" si="4"/>
        <v>-7.2152848140660808E-8</v>
      </c>
      <c r="U45">
        <f t="shared" si="5"/>
        <v>0.20601057181366916</v>
      </c>
      <c r="V45">
        <f t="shared" si="6"/>
        <v>0</v>
      </c>
      <c r="W45">
        <f t="shared" si="7"/>
        <v>-1.0238447659956603E-2</v>
      </c>
    </row>
    <row r="46" spans="1:23" x14ac:dyDescent="0.2">
      <c r="A46" t="s">
        <v>58</v>
      </c>
      <c r="B46">
        <v>11.75886719543743</v>
      </c>
      <c r="C46">
        <v>3.3115554089766519E-2</v>
      </c>
      <c r="D46">
        <v>9.6563076016494935E-3</v>
      </c>
      <c r="E46">
        <v>1.246842836978902E-5</v>
      </c>
      <c r="F46">
        <v>25.98632947414881</v>
      </c>
      <c r="G46">
        <v>0.2679003038572042</v>
      </c>
      <c r="H46">
        <v>0.99999999999996325</v>
      </c>
      <c r="I46">
        <v>1156</v>
      </c>
      <c r="J46">
        <v>1256</v>
      </c>
      <c r="K46">
        <v>127</v>
      </c>
      <c r="L46">
        <v>191</v>
      </c>
      <c r="M46">
        <v>8</v>
      </c>
      <c r="P46">
        <f t="shared" si="22"/>
        <v>11.75886719543743</v>
      </c>
      <c r="Q46">
        <f t="shared" si="23"/>
        <v>0.28162197547920026</v>
      </c>
      <c r="R46">
        <f t="shared" si="24"/>
        <v>0.12912211255220535</v>
      </c>
      <c r="S46">
        <f t="shared" si="25"/>
        <v>1.0373075261606097E-2</v>
      </c>
      <c r="T46">
        <f t="shared" si="4"/>
        <v>0</v>
      </c>
      <c r="U46">
        <f t="shared" si="5"/>
        <v>0.20523094886513471</v>
      </c>
      <c r="V46">
        <f t="shared" si="6"/>
        <v>0</v>
      </c>
      <c r="W46">
        <f t="shared" si="7"/>
        <v>-1.0373075261606097E-2</v>
      </c>
    </row>
    <row r="47" spans="1:23" x14ac:dyDescent="0.2">
      <c r="A47" t="s">
        <v>59</v>
      </c>
      <c r="B47">
        <v>14.35546377440274</v>
      </c>
      <c r="C47">
        <v>3.2840603707684927E-2</v>
      </c>
      <c r="D47">
        <v>9.5992138610266099E-3</v>
      </c>
      <c r="E47">
        <v>1.3058707711821461E-5</v>
      </c>
      <c r="F47">
        <v>22.828945845909679</v>
      </c>
      <c r="G47">
        <v>0.23534995717432661</v>
      </c>
      <c r="H47">
        <v>0.99999999999999967</v>
      </c>
      <c r="I47">
        <v>1156</v>
      </c>
      <c r="J47">
        <v>1256</v>
      </c>
      <c r="K47">
        <v>112</v>
      </c>
      <c r="L47">
        <v>181</v>
      </c>
      <c r="M47">
        <v>5</v>
      </c>
      <c r="P47">
        <f t="shared" si="22"/>
        <v>14.35546377440274</v>
      </c>
      <c r="Q47">
        <f t="shared" si="23"/>
        <v>0.22876727790740611</v>
      </c>
      <c r="R47">
        <f t="shared" si="24"/>
        <v>0.13603934552224747</v>
      </c>
      <c r="S47">
        <f t="shared" si="25"/>
        <v>1.0315981520983213E-2</v>
      </c>
      <c r="T47">
        <f t="shared" si="4"/>
        <v>0</v>
      </c>
      <c r="U47">
        <f t="shared" si="5"/>
        <v>0.25055010851410026</v>
      </c>
      <c r="V47">
        <f t="shared" si="6"/>
        <v>0</v>
      </c>
      <c r="W47">
        <f t="shared" si="7"/>
        <v>-1.0315981520983213E-2</v>
      </c>
    </row>
    <row r="48" spans="1:23" x14ac:dyDescent="0.2">
      <c r="A48" t="s">
        <v>60</v>
      </c>
      <c r="B48">
        <v>14.27642378570147</v>
      </c>
      <c r="C48">
        <v>3.4843222925395878E-2</v>
      </c>
      <c r="D48">
        <v>1.026396094935615E-2</v>
      </c>
      <c r="E48">
        <v>2.093331159257734E-5</v>
      </c>
      <c r="F48">
        <v>41.307916099463142</v>
      </c>
      <c r="G48">
        <v>0.57372105693698805</v>
      </c>
      <c r="H48">
        <v>0.9986217769714133</v>
      </c>
      <c r="I48">
        <v>1193</v>
      </c>
      <c r="J48">
        <v>1268</v>
      </c>
      <c r="K48">
        <v>165</v>
      </c>
      <c r="L48">
        <v>178</v>
      </c>
      <c r="M48">
        <v>5</v>
      </c>
      <c r="P48">
        <f t="shared" si="22"/>
        <v>14.27642378570147</v>
      </c>
      <c r="Q48">
        <f t="shared" si="23"/>
        <v>0.24406128207186631</v>
      </c>
      <c r="R48">
        <f t="shared" si="24"/>
        <v>0.20394964181825406</v>
      </c>
      <c r="S48">
        <f t="shared" si="25"/>
        <v>1.0980728609312753E-2</v>
      </c>
      <c r="T48">
        <f t="shared" si="4"/>
        <v>0</v>
      </c>
      <c r="U48">
        <f t="shared" si="5"/>
        <v>0.249170600470524</v>
      </c>
      <c r="V48">
        <f t="shared" si="6"/>
        <v>0</v>
      </c>
      <c r="W48">
        <f t="shared" si="7"/>
        <v>-1.0980728609312753E-2</v>
      </c>
    </row>
    <row r="49" spans="1:23" x14ac:dyDescent="0.2">
      <c r="A49" t="s">
        <v>61</v>
      </c>
      <c r="B49">
        <v>-1.897105642101597</v>
      </c>
      <c r="C49">
        <v>6.2549651590227739E-2</v>
      </c>
      <c r="D49">
        <v>1.038064687511127E-2</v>
      </c>
      <c r="E49">
        <v>1.231004730918103E-5</v>
      </c>
      <c r="F49">
        <v>133.11370526746001</v>
      </c>
      <c r="G49">
        <v>1.848801462048056</v>
      </c>
      <c r="H49">
        <v>1.595591828005571E-5</v>
      </c>
      <c r="I49">
        <v>1220</v>
      </c>
      <c r="J49">
        <v>1295</v>
      </c>
      <c r="K49">
        <v>143</v>
      </c>
      <c r="L49">
        <v>266</v>
      </c>
      <c r="M49">
        <v>5</v>
      </c>
      <c r="P49">
        <f t="shared" si="22"/>
        <v>1.897105642101597</v>
      </c>
      <c r="Q49">
        <f t="shared" si="23"/>
        <v>3.2971095653342628</v>
      </c>
      <c r="R49">
        <f t="shared" si="24"/>
        <v>0.1185865144752752</v>
      </c>
      <c r="S49">
        <f t="shared" si="25"/>
        <v>1.1097414535067874E-2</v>
      </c>
      <c r="T49">
        <f t="shared" si="4"/>
        <v>0</v>
      </c>
      <c r="U49">
        <f t="shared" si="5"/>
        <v>-3.3110739712834028E-2</v>
      </c>
      <c r="V49">
        <f t="shared" si="6"/>
        <v>0</v>
      </c>
      <c r="W49">
        <f t="shared" si="7"/>
        <v>-1.1097414535067874E-2</v>
      </c>
    </row>
    <row r="50" spans="1:23" x14ac:dyDescent="0.2">
      <c r="A50" t="s">
        <v>62</v>
      </c>
      <c r="B50">
        <v>-26.685549964311029</v>
      </c>
      <c r="C50">
        <v>3.6962221621070768E-2</v>
      </c>
      <c r="D50">
        <v>9.5046794009040533E-3</v>
      </c>
      <c r="E50">
        <v>2.3052043444669471E-5</v>
      </c>
      <c r="F50">
        <v>29.178306505920808</v>
      </c>
      <c r="G50">
        <v>0.40525425702667789</v>
      </c>
      <c r="H50">
        <v>0.99999837125375846</v>
      </c>
      <c r="I50">
        <v>1220</v>
      </c>
      <c r="J50">
        <v>1295</v>
      </c>
      <c r="K50">
        <v>139</v>
      </c>
      <c r="L50">
        <v>346</v>
      </c>
      <c r="M50">
        <v>5</v>
      </c>
      <c r="P50">
        <f t="shared" si="22"/>
        <v>26.685549964311029</v>
      </c>
      <c r="Q50">
        <f t="shared" si="23"/>
        <v>0.13851024869453188</v>
      </c>
      <c r="R50">
        <f t="shared" si="24"/>
        <v>0.24253362446372298</v>
      </c>
      <c r="S50">
        <f t="shared" si="25"/>
        <v>1.0221447060860657E-2</v>
      </c>
      <c r="T50">
        <f t="shared" si="4"/>
        <v>0</v>
      </c>
      <c r="U50">
        <f t="shared" si="5"/>
        <v>-0.46575070958268278</v>
      </c>
      <c r="V50">
        <f t="shared" si="6"/>
        <v>0</v>
      </c>
      <c r="W50">
        <f t="shared" si="7"/>
        <v>-1.0221447060860657E-2</v>
      </c>
    </row>
    <row r="51" spans="1:23" x14ac:dyDescent="0.2">
      <c r="A51" t="s">
        <v>65</v>
      </c>
      <c r="B51">
        <v>29.551105488744579</v>
      </c>
      <c r="C51">
        <v>3.9272163197122012E-2</v>
      </c>
      <c r="D51">
        <v>1.001931177179438E-2</v>
      </c>
      <c r="E51">
        <v>3.290623851299239E-5</v>
      </c>
      <c r="F51">
        <v>75.174137460933267</v>
      </c>
      <c r="G51">
        <v>1.0440852425129621</v>
      </c>
      <c r="H51">
        <v>0.37595840510622008</v>
      </c>
      <c r="I51">
        <v>1301</v>
      </c>
      <c r="J51">
        <v>1376</v>
      </c>
      <c r="K51">
        <v>155</v>
      </c>
      <c r="L51">
        <v>128</v>
      </c>
      <c r="M51">
        <v>10</v>
      </c>
      <c r="P51">
        <f t="shared" si="22"/>
        <v>29.551105488744579</v>
      </c>
      <c r="Q51">
        <f t="shared" si="23"/>
        <v>0.13289574974472609</v>
      </c>
      <c r="R51">
        <f t="shared" si="24"/>
        <v>0.32842813221590311</v>
      </c>
      <c r="S51">
        <f t="shared" si="25"/>
        <v>1.0736079431750983E-2</v>
      </c>
      <c r="T51">
        <f t="shared" si="4"/>
        <v>0</v>
      </c>
      <c r="U51">
        <f t="shared" si="5"/>
        <v>0.515764088382761</v>
      </c>
      <c r="V51">
        <f t="shared" si="6"/>
        <v>0</v>
      </c>
      <c r="W51">
        <f t="shared" si="7"/>
        <v>-1.0736079431750983E-2</v>
      </c>
    </row>
    <row r="52" spans="1:23" x14ac:dyDescent="0.2">
      <c r="A52" t="s">
        <v>66</v>
      </c>
      <c r="B52">
        <v>23.29810033448376</v>
      </c>
      <c r="C52">
        <v>3.5903246666425297E-2</v>
      </c>
      <c r="D52">
        <v>9.5806623737939595E-3</v>
      </c>
      <c r="E52">
        <v>1.2002065733497119E-5</v>
      </c>
      <c r="F52">
        <v>30.270178071826599</v>
      </c>
      <c r="G52">
        <v>0.27026944706988038</v>
      </c>
      <c r="H52">
        <v>0.99999999999999933</v>
      </c>
      <c r="I52">
        <v>1301</v>
      </c>
      <c r="J52">
        <v>1416</v>
      </c>
      <c r="K52">
        <v>51</v>
      </c>
      <c r="L52">
        <v>156</v>
      </c>
      <c r="M52">
        <v>10</v>
      </c>
      <c r="P52">
        <f t="shared" si="22"/>
        <v>23.29810033448376</v>
      </c>
      <c r="Q52">
        <f t="shared" si="23"/>
        <v>0.15410375159765508</v>
      </c>
      <c r="R52">
        <f t="shared" si="24"/>
        <v>0.125273861714681</v>
      </c>
      <c r="S52">
        <f t="shared" si="25"/>
        <v>1.0297430033750563E-2</v>
      </c>
      <c r="T52">
        <f t="shared" si="4"/>
        <v>0</v>
      </c>
      <c r="U52">
        <f t="shared" si="5"/>
        <v>0.40662856029673378</v>
      </c>
      <c r="V52">
        <f t="shared" si="6"/>
        <v>0</v>
      </c>
      <c r="W52">
        <f t="shared" si="7"/>
        <v>-1.0297430033750563E-2</v>
      </c>
    </row>
    <row r="53" spans="1:23" x14ac:dyDescent="0.2">
      <c r="A53" t="s">
        <v>67</v>
      </c>
      <c r="B53">
        <v>7.4355690581120593</v>
      </c>
      <c r="C53">
        <v>4.5372004681110127E-2</v>
      </c>
      <c r="D53">
        <v>9.6421102112694192E-3</v>
      </c>
      <c r="E53">
        <v>1.7734668927470561E-5</v>
      </c>
      <c r="F53">
        <v>68.729125657003152</v>
      </c>
      <c r="G53">
        <v>1.321713954942368</v>
      </c>
      <c r="H53">
        <v>5.9923669596831278E-2</v>
      </c>
      <c r="I53">
        <v>1362</v>
      </c>
      <c r="J53">
        <v>1417</v>
      </c>
      <c r="K53">
        <v>160</v>
      </c>
      <c r="L53">
        <v>212</v>
      </c>
      <c r="M53">
        <v>10</v>
      </c>
      <c r="N53" t="s">
        <v>68</v>
      </c>
      <c r="O53" t="s">
        <v>69</v>
      </c>
      <c r="P53">
        <f t="shared" si="22"/>
        <v>7.4355690581120593</v>
      </c>
      <c r="Q53">
        <f t="shared" si="23"/>
        <v>0.61020218259704229</v>
      </c>
      <c r="R53">
        <f t="shared" si="24"/>
        <v>0.18392933226113506</v>
      </c>
      <c r="S53">
        <f t="shared" si="25"/>
        <v>1.0358877871226023E-2</v>
      </c>
      <c r="T53">
        <f t="shared" si="4"/>
        <v>0</v>
      </c>
      <c r="U53">
        <f t="shared" si="5"/>
        <v>0.12977516182346902</v>
      </c>
      <c r="V53">
        <f t="shared" si="6"/>
        <v>0</v>
      </c>
      <c r="W53">
        <f t="shared" si="7"/>
        <v>-1.0358877871226023E-2</v>
      </c>
    </row>
    <row r="54" spans="1:23" x14ac:dyDescent="0.2">
      <c r="A54" t="s">
        <v>70</v>
      </c>
      <c r="B54">
        <v>27.007088433933891</v>
      </c>
      <c r="C54">
        <v>3.0074155814666881E-2</v>
      </c>
      <c r="D54">
        <v>9.2793144966466148E-3</v>
      </c>
      <c r="E54">
        <v>1.048860446766942E-5</v>
      </c>
      <c r="F54">
        <v>34.241082437125982</v>
      </c>
      <c r="G54">
        <v>0.232932533585891</v>
      </c>
      <c r="H54">
        <v>1</v>
      </c>
      <c r="I54">
        <v>1912</v>
      </c>
      <c r="J54">
        <v>2062</v>
      </c>
      <c r="K54">
        <v>58</v>
      </c>
      <c r="L54">
        <v>145</v>
      </c>
      <c r="M54">
        <v>10</v>
      </c>
      <c r="N54" t="s">
        <v>71</v>
      </c>
      <c r="O54" t="s">
        <v>72</v>
      </c>
      <c r="P54">
        <f t="shared" si="22"/>
        <v>27.007088433933891</v>
      </c>
      <c r="Q54">
        <f t="shared" si="23"/>
        <v>0.11135652733627989</v>
      </c>
      <c r="R54">
        <f t="shared" si="24"/>
        <v>0.11303210459630204</v>
      </c>
      <c r="S54">
        <f t="shared" si="25"/>
        <v>9.9960821566032181E-3</v>
      </c>
      <c r="T54">
        <f t="shared" si="4"/>
        <v>0</v>
      </c>
      <c r="U54">
        <f t="shared" si="5"/>
        <v>0.47136261454942546</v>
      </c>
      <c r="V54">
        <f t="shared" si="6"/>
        <v>0</v>
      </c>
      <c r="W54">
        <f t="shared" si="7"/>
        <v>-9.9960821566032181E-3</v>
      </c>
    </row>
    <row r="55" spans="1:23" x14ac:dyDescent="0.2">
      <c r="A55" t="s">
        <v>73</v>
      </c>
      <c r="B55">
        <v>-17.548337183305499</v>
      </c>
      <c r="C55">
        <v>3.3761370052928903E-2</v>
      </c>
      <c r="D55">
        <v>1.007408747109995E-2</v>
      </c>
      <c r="E55">
        <v>1.3347211222768771E-5</v>
      </c>
      <c r="F55">
        <v>119.2536482539076</v>
      </c>
      <c r="G55">
        <v>1.229419054163996</v>
      </c>
      <c r="H55">
        <v>6.2183708737606647E-2</v>
      </c>
      <c r="I55">
        <v>1912</v>
      </c>
      <c r="J55">
        <v>2012</v>
      </c>
      <c r="K55">
        <v>174</v>
      </c>
      <c r="L55">
        <v>311</v>
      </c>
      <c r="M55">
        <v>5</v>
      </c>
      <c r="N55" t="s">
        <v>71</v>
      </c>
      <c r="O55" t="s">
        <v>74</v>
      </c>
      <c r="P55">
        <f t="shared" si="22"/>
        <v>17.548337183305499</v>
      </c>
      <c r="Q55">
        <f t="shared" si="23"/>
        <v>0.19239070745145911</v>
      </c>
      <c r="R55">
        <f t="shared" si="24"/>
        <v>0.13249052344501275</v>
      </c>
      <c r="S55">
        <f t="shared" si="25"/>
        <v>1.0790855131056553E-2</v>
      </c>
      <c r="T55">
        <f t="shared" si="4"/>
        <v>0</v>
      </c>
      <c r="U55">
        <f t="shared" si="5"/>
        <v>-0.30627626209882869</v>
      </c>
      <c r="V55">
        <f t="shared" si="6"/>
        <v>0</v>
      </c>
      <c r="W55">
        <f t="shared" si="7"/>
        <v>-1.0790855131056553E-2</v>
      </c>
    </row>
    <row r="56" spans="1:23" x14ac:dyDescent="0.2">
      <c r="A56" t="s">
        <v>75</v>
      </c>
      <c r="B56">
        <v>16.696408190501451</v>
      </c>
      <c r="C56">
        <v>1.5908779514498479</v>
      </c>
      <c r="D56">
        <v>9.7146233516572002E-3</v>
      </c>
      <c r="E56">
        <v>1.9654232539801861E-4</v>
      </c>
      <c r="F56">
        <v>6.8701484906381847</v>
      </c>
      <c r="G56">
        <v>0.14617337214123799</v>
      </c>
      <c r="H56">
        <v>0.99999999999883182</v>
      </c>
      <c r="I56">
        <v>1941</v>
      </c>
      <c r="J56">
        <v>1991</v>
      </c>
      <c r="K56">
        <v>43</v>
      </c>
      <c r="L56">
        <v>186</v>
      </c>
      <c r="M56">
        <v>5</v>
      </c>
      <c r="N56" t="s">
        <v>76</v>
      </c>
      <c r="O56" t="s">
        <v>77</v>
      </c>
      <c r="P56">
        <f t="shared" si="22"/>
        <v>16.696408190501451</v>
      </c>
      <c r="Q56">
        <f t="shared" si="23"/>
        <v>9.5282646021729072</v>
      </c>
      <c r="R56">
        <f t="shared" si="24"/>
        <v>2.0231595017473407</v>
      </c>
      <c r="S56">
        <f t="shared" si="25"/>
        <v>1.0431391011613804E-2</v>
      </c>
      <c r="T56">
        <f t="shared" si="4"/>
        <v>0</v>
      </c>
      <c r="U56">
        <f t="shared" si="5"/>
        <v>0.29140729618119893</v>
      </c>
      <c r="V56">
        <f t="shared" si="6"/>
        <v>0</v>
      </c>
      <c r="W56">
        <f t="shared" si="7"/>
        <v>-1.0431391011613804E-2</v>
      </c>
    </row>
    <row r="57" spans="1:23" x14ac:dyDescent="0.2">
      <c r="A57" t="s">
        <v>78</v>
      </c>
      <c r="B57">
        <v>20.006081505052091</v>
      </c>
      <c r="C57">
        <v>3.5980696257496447E-2</v>
      </c>
      <c r="D57">
        <v>1.0243586758795069E-2</v>
      </c>
      <c r="E57">
        <v>2.7747194799235099E-5</v>
      </c>
      <c r="F57">
        <v>59.991171693991483</v>
      </c>
      <c r="G57">
        <v>0.88222311314693347</v>
      </c>
      <c r="H57">
        <v>0.744713141239294</v>
      </c>
      <c r="I57">
        <v>1980</v>
      </c>
      <c r="J57">
        <v>2051</v>
      </c>
      <c r="K57">
        <v>110</v>
      </c>
      <c r="L57">
        <v>165</v>
      </c>
      <c r="M57">
        <v>5</v>
      </c>
      <c r="N57" t="s">
        <v>79</v>
      </c>
      <c r="O57" t="s">
        <v>80</v>
      </c>
      <c r="P57">
        <f t="shared" si="22"/>
        <v>20.006081505052091</v>
      </c>
      <c r="Q57">
        <f t="shared" si="23"/>
        <v>0.17984879372010118</v>
      </c>
      <c r="R57">
        <f t="shared" si="24"/>
        <v>0.27087382039705538</v>
      </c>
      <c r="S57">
        <f t="shared" si="25"/>
        <v>1.0960354418751673E-2</v>
      </c>
      <c r="T57">
        <f t="shared" si="4"/>
        <v>0</v>
      </c>
      <c r="U57">
        <f t="shared" si="5"/>
        <v>0.34917199268550159</v>
      </c>
      <c r="V57">
        <f t="shared" si="6"/>
        <v>0</v>
      </c>
      <c r="W57">
        <f t="shared" si="7"/>
        <v>-1.0960354418751673E-2</v>
      </c>
    </row>
    <row r="58" spans="1:23" x14ac:dyDescent="0.2">
      <c r="A58" t="s">
        <v>81</v>
      </c>
      <c r="B58">
        <v>19.514292756373621</v>
      </c>
      <c r="C58">
        <v>3.1073011607752221E-2</v>
      </c>
      <c r="D58">
        <v>9.565224300891309E-3</v>
      </c>
      <c r="E58">
        <v>9.4738642618146338E-6</v>
      </c>
      <c r="F58">
        <v>44.265166400623798</v>
      </c>
      <c r="G58">
        <v>0.34050128000479851</v>
      </c>
      <c r="H58">
        <v>0.99999999999988132</v>
      </c>
      <c r="I58">
        <v>1992</v>
      </c>
      <c r="J58">
        <v>2125</v>
      </c>
      <c r="K58">
        <v>67</v>
      </c>
      <c r="L58">
        <v>170</v>
      </c>
      <c r="M58">
        <v>5</v>
      </c>
      <c r="N58" t="s">
        <v>77</v>
      </c>
      <c r="O58" t="s">
        <v>82</v>
      </c>
      <c r="P58">
        <f t="shared" si="22"/>
        <v>19.514292756373621</v>
      </c>
      <c r="Q58">
        <f t="shared" si="23"/>
        <v>0.15923206644321442</v>
      </c>
      <c r="R58">
        <f t="shared" si="24"/>
        <v>9.9044873008695022E-2</v>
      </c>
      <c r="S58">
        <f t="shared" si="25"/>
        <v>1.0281991960847912E-2</v>
      </c>
      <c r="T58">
        <f t="shared" si="4"/>
        <v>0</v>
      </c>
      <c r="U58">
        <f t="shared" si="5"/>
        <v>0.34058865979679936</v>
      </c>
      <c r="V58">
        <f t="shared" si="6"/>
        <v>0</v>
      </c>
      <c r="W58">
        <f t="shared" si="7"/>
        <v>-1.0281991960847912E-2</v>
      </c>
    </row>
    <row r="59" spans="1:23" x14ac:dyDescent="0.2">
      <c r="A59" t="s">
        <v>83</v>
      </c>
      <c r="B59">
        <v>-9.3151560585518496</v>
      </c>
      <c r="C59">
        <v>4.0661858565504971E-2</v>
      </c>
      <c r="D59">
        <v>9.7042487632187733E-3</v>
      </c>
      <c r="E59">
        <v>1.088393567759959E-5</v>
      </c>
      <c r="F59">
        <v>93.443271712241213</v>
      </c>
      <c r="G59">
        <v>0.96333269806434241</v>
      </c>
      <c r="H59">
        <v>0.58336627245971473</v>
      </c>
      <c r="I59">
        <v>2010</v>
      </c>
      <c r="J59">
        <v>2110</v>
      </c>
      <c r="K59">
        <v>45</v>
      </c>
      <c r="L59">
        <v>288</v>
      </c>
      <c r="M59">
        <v>5</v>
      </c>
      <c r="N59" t="s">
        <v>84</v>
      </c>
      <c r="O59" t="s">
        <v>85</v>
      </c>
      <c r="P59">
        <f t="shared" si="22"/>
        <v>9.3151560585518496</v>
      </c>
      <c r="Q59">
        <f t="shared" si="23"/>
        <v>0.43651290767345813</v>
      </c>
      <c r="R59">
        <f t="shared" si="24"/>
        <v>0.11215639606078616</v>
      </c>
      <c r="S59">
        <f t="shared" si="25"/>
        <v>1.0421016423175377E-2</v>
      </c>
      <c r="T59">
        <f t="shared" si="4"/>
        <v>0</v>
      </c>
      <c r="U59">
        <f t="shared" si="5"/>
        <v>-0.16258014355882747</v>
      </c>
      <c r="V59">
        <f t="shared" si="6"/>
        <v>0</v>
      </c>
      <c r="W59">
        <f t="shared" si="7"/>
        <v>-1.0421016423175377E-2</v>
      </c>
    </row>
    <row r="60" spans="1:23" x14ac:dyDescent="0.2">
      <c r="A60" t="s">
        <v>86</v>
      </c>
      <c r="B60">
        <v>-13.63960419522564</v>
      </c>
      <c r="C60">
        <v>3.4184979583296027E-2</v>
      </c>
      <c r="D60">
        <v>9.7869304355856102E-3</v>
      </c>
      <c r="E60">
        <v>6.8219610170452286E-6</v>
      </c>
      <c r="F60">
        <v>53.093746670902668</v>
      </c>
      <c r="G60">
        <v>0.36118195014219501</v>
      </c>
      <c r="H60">
        <v>0.99999999999994493</v>
      </c>
      <c r="I60">
        <v>2010</v>
      </c>
      <c r="J60">
        <v>2160</v>
      </c>
      <c r="K60">
        <v>35</v>
      </c>
      <c r="L60">
        <v>307</v>
      </c>
      <c r="M60">
        <v>5</v>
      </c>
      <c r="N60" t="s">
        <v>84</v>
      </c>
      <c r="O60" t="s">
        <v>87</v>
      </c>
      <c r="P60">
        <f t="shared" si="22"/>
        <v>13.63960419522564</v>
      </c>
      <c r="Q60">
        <f t="shared" si="23"/>
        <v>0.25063029024890632</v>
      </c>
      <c r="R60">
        <f t="shared" si="24"/>
        <v>6.9704807466908589E-2</v>
      </c>
      <c r="S60">
        <f t="shared" si="25"/>
        <v>1.0503698095542214E-2</v>
      </c>
      <c r="T60">
        <f t="shared" si="4"/>
        <v>0</v>
      </c>
      <c r="U60">
        <f t="shared" si="5"/>
        <v>-0.23805600187551887</v>
      </c>
      <c r="V60">
        <f t="shared" si="6"/>
        <v>0</v>
      </c>
      <c r="W60">
        <f t="shared" si="7"/>
        <v>-1.0503698095542214E-2</v>
      </c>
    </row>
    <row r="61" spans="1:23" x14ac:dyDescent="0.2">
      <c r="A61" t="s">
        <v>88</v>
      </c>
      <c r="B61">
        <v>2.648741461906702</v>
      </c>
      <c r="C61">
        <v>3.9090886490349419E-2</v>
      </c>
      <c r="D61">
        <v>1.0154351920482521E-2</v>
      </c>
      <c r="E61">
        <v>1.524618849054914E-5</v>
      </c>
      <c r="F61">
        <v>23.008693323699259</v>
      </c>
      <c r="G61">
        <v>0.29881419900908118</v>
      </c>
      <c r="H61">
        <v>0.99999999969659048</v>
      </c>
      <c r="I61">
        <v>406</v>
      </c>
      <c r="J61">
        <v>486</v>
      </c>
      <c r="K61">
        <v>194</v>
      </c>
      <c r="L61">
        <v>221</v>
      </c>
      <c r="M61">
        <v>5</v>
      </c>
      <c r="N61" t="s">
        <v>89</v>
      </c>
      <c r="O61" t="s">
        <v>90</v>
      </c>
      <c r="P61">
        <f t="shared" si="22"/>
        <v>2.648741461906702</v>
      </c>
      <c r="Q61">
        <f t="shared" si="23"/>
        <v>1.475828692703355</v>
      </c>
      <c r="R61">
        <f t="shared" si="24"/>
        <v>0.15014437760223562</v>
      </c>
      <c r="S61">
        <f t="shared" si="25"/>
        <v>1.0871119580439124E-2</v>
      </c>
      <c r="T61">
        <f t="shared" si="4"/>
        <v>0</v>
      </c>
      <c r="U61">
        <f t="shared" si="5"/>
        <v>4.6229259544359913E-2</v>
      </c>
      <c r="V61">
        <f t="shared" si="6"/>
        <v>0</v>
      </c>
      <c r="W61">
        <f t="shared" si="7"/>
        <v>-1.0871119580439124E-2</v>
      </c>
    </row>
    <row r="62" spans="1:23" x14ac:dyDescent="0.2">
      <c r="A62">
        <v>4012020</v>
      </c>
      <c r="B62">
        <v>26.874316290617699</v>
      </c>
      <c r="C62">
        <v>6.6264733416740995E-2</v>
      </c>
      <c r="D62">
        <v>9.5735638975321148E-3</v>
      </c>
      <c r="E62">
        <v>7.9264959497797491E-5</v>
      </c>
      <c r="F62">
        <v>16.70010622710857</v>
      </c>
      <c r="G62">
        <v>0.30926122642793652</v>
      </c>
      <c r="H62">
        <v>0.99999976367448573</v>
      </c>
      <c r="I62">
        <v>1421</v>
      </c>
      <c r="J62">
        <v>1478</v>
      </c>
      <c r="K62">
        <v>111</v>
      </c>
      <c r="L62">
        <v>127</v>
      </c>
      <c r="M62">
        <v>5</v>
      </c>
      <c r="N62" t="s">
        <v>91</v>
      </c>
      <c r="O62" t="s">
        <v>92</v>
      </c>
      <c r="P62">
        <f t="shared" si="22"/>
        <v>26.874316290617699</v>
      </c>
      <c r="Q62">
        <f t="shared" si="23"/>
        <v>0.24657272281890644</v>
      </c>
      <c r="R62">
        <f t="shared" si="24"/>
        <v>0.82795665591400613</v>
      </c>
      <c r="S62">
        <f t="shared" si="25"/>
        <v>1.0290331557488718E-2</v>
      </c>
      <c r="T62">
        <f t="shared" si="4"/>
        <v>0</v>
      </c>
      <c r="U62">
        <f t="shared" si="5"/>
        <v>0.46904530349362816</v>
      </c>
      <c r="V62">
        <f t="shared" si="6"/>
        <v>0</v>
      </c>
      <c r="W62">
        <f t="shared" si="7"/>
        <v>-1.0290331557488718E-2</v>
      </c>
    </row>
    <row r="63" spans="1:23" x14ac:dyDescent="0.2">
      <c r="A63" t="s">
        <v>93</v>
      </c>
      <c r="B63">
        <v>-24.821050022473209</v>
      </c>
      <c r="C63">
        <v>3.8665371623796567E-2</v>
      </c>
      <c r="D63">
        <v>9.4394514143893958E-3</v>
      </c>
      <c r="E63">
        <v>6.6500018742206507E-5</v>
      </c>
      <c r="F63">
        <v>8.6648429372133577</v>
      </c>
      <c r="G63">
        <v>0.18435836036624159</v>
      </c>
      <c r="H63">
        <v>0.99999999988384447</v>
      </c>
      <c r="I63">
        <v>2509</v>
      </c>
      <c r="J63">
        <v>2559</v>
      </c>
      <c r="K63">
        <v>212</v>
      </c>
      <c r="L63">
        <v>354</v>
      </c>
      <c r="M63">
        <v>20</v>
      </c>
      <c r="N63" t="s">
        <v>94</v>
      </c>
      <c r="O63" t="s">
        <v>95</v>
      </c>
      <c r="P63">
        <f t="shared" si="22"/>
        <v>24.821050022473209</v>
      </c>
      <c r="Q63">
        <f t="shared" si="23"/>
        <v>0.15577653479118966</v>
      </c>
      <c r="R63">
        <f t="shared" si="24"/>
        <v>0.70449029104418726</v>
      </c>
      <c r="S63">
        <f t="shared" si="25"/>
        <v>1.0156219074345999E-2</v>
      </c>
      <c r="T63">
        <f t="shared" si="4"/>
        <v>0</v>
      </c>
      <c r="U63">
        <f t="shared" si="5"/>
        <v>-0.43320904669436999</v>
      </c>
      <c r="V63">
        <f t="shared" si="6"/>
        <v>0</v>
      </c>
      <c r="W63">
        <f t="shared" si="7"/>
        <v>-1.0156219074345999E-2</v>
      </c>
    </row>
    <row r="64" spans="1:23" x14ac:dyDescent="0.2">
      <c r="A64" t="s">
        <v>96</v>
      </c>
      <c r="B64">
        <v>-20.661794587590979</v>
      </c>
      <c r="C64">
        <v>3.16250931131421E-2</v>
      </c>
      <c r="D64">
        <v>9.6382623578520829E-3</v>
      </c>
      <c r="E64">
        <v>1.17595145732216E-5</v>
      </c>
      <c r="F64">
        <v>19.431720292636729</v>
      </c>
      <c r="G64">
        <v>0.16608307942424561</v>
      </c>
      <c r="H64">
        <v>1</v>
      </c>
      <c r="I64">
        <v>3221</v>
      </c>
      <c r="J64">
        <v>3341</v>
      </c>
      <c r="K64">
        <v>79</v>
      </c>
      <c r="L64">
        <v>351</v>
      </c>
      <c r="M64">
        <v>20</v>
      </c>
      <c r="N64" t="s">
        <v>97</v>
      </c>
      <c r="O64" t="s">
        <v>98</v>
      </c>
      <c r="P64">
        <f t="shared" si="22"/>
        <v>20.661794587590979</v>
      </c>
      <c r="Q64">
        <f t="shared" si="23"/>
        <v>0.15306072751364702</v>
      </c>
      <c r="R64">
        <f t="shared" si="24"/>
        <v>0.12200865816483382</v>
      </c>
      <c r="S64">
        <f t="shared" si="25"/>
        <v>1.0355030017808686E-2</v>
      </c>
      <c r="T64">
        <f t="shared" si="4"/>
        <v>0</v>
      </c>
      <c r="U64">
        <f t="shared" si="5"/>
        <v>-0.36061634492420652</v>
      </c>
      <c r="V64">
        <f t="shared" si="6"/>
        <v>0</v>
      </c>
      <c r="W64">
        <f t="shared" si="7"/>
        <v>-1.0355030017808686E-2</v>
      </c>
    </row>
    <row r="65" spans="1:23" x14ac:dyDescent="0.2">
      <c r="A65" t="s">
        <v>99</v>
      </c>
      <c r="B65">
        <v>22.830866903954231</v>
      </c>
      <c r="C65">
        <v>3.447859981258361E-2</v>
      </c>
      <c r="D65">
        <v>9.4722486331206106E-3</v>
      </c>
      <c r="E65">
        <v>1.051876733714017E-5</v>
      </c>
      <c r="F65">
        <v>30.73424136754603</v>
      </c>
      <c r="G65">
        <v>0.31044688250046493</v>
      </c>
      <c r="H65">
        <v>0.99999999999614519</v>
      </c>
      <c r="I65">
        <v>3426</v>
      </c>
      <c r="J65">
        <v>3528</v>
      </c>
      <c r="K65">
        <v>90</v>
      </c>
      <c r="L65">
        <v>184</v>
      </c>
      <c r="M65">
        <v>20</v>
      </c>
      <c r="N65" t="s">
        <v>100</v>
      </c>
      <c r="O65" t="s">
        <v>101</v>
      </c>
      <c r="P65">
        <f t="shared" si="22"/>
        <v>22.830866903954231</v>
      </c>
      <c r="Q65">
        <f t="shared" si="23"/>
        <v>0.15101747979009958</v>
      </c>
      <c r="R65">
        <f t="shared" si="24"/>
        <v>0.11104826049814938</v>
      </c>
      <c r="S65">
        <f t="shared" si="25"/>
        <v>1.0189016293077214E-2</v>
      </c>
      <c r="T65">
        <f t="shared" si="4"/>
        <v>0</v>
      </c>
      <c r="U65">
        <f t="shared" si="5"/>
        <v>0.39847379855860532</v>
      </c>
      <c r="V65">
        <f t="shared" si="6"/>
        <v>0</v>
      </c>
      <c r="W65">
        <f t="shared" si="7"/>
        <v>-1.0189016293077214E-2</v>
      </c>
    </row>
    <row r="66" spans="1:23" x14ac:dyDescent="0.2">
      <c r="A66" t="s">
        <v>102</v>
      </c>
      <c r="B66">
        <v>-14.129318030353961</v>
      </c>
      <c r="C66">
        <v>3.2493740002236038E-2</v>
      </c>
      <c r="D66">
        <v>9.9515203798054893E-3</v>
      </c>
      <c r="E66">
        <v>1.2365455470006E-5</v>
      </c>
      <c r="F66">
        <v>106.79362593655991</v>
      </c>
      <c r="G66">
        <v>1.0787234943086861</v>
      </c>
      <c r="H66">
        <v>0.27857981473213222</v>
      </c>
      <c r="I66">
        <v>4518</v>
      </c>
      <c r="J66">
        <v>4620</v>
      </c>
      <c r="K66">
        <v>78</v>
      </c>
      <c r="L66">
        <v>326</v>
      </c>
      <c r="M66">
        <v>20</v>
      </c>
      <c r="N66" t="s">
        <v>103</v>
      </c>
      <c r="O66" t="s">
        <v>104</v>
      </c>
      <c r="P66">
        <f t="shared" si="22"/>
        <v>14.129318030353961</v>
      </c>
      <c r="Q66">
        <f t="shared" si="23"/>
        <v>0.22997387370310343</v>
      </c>
      <c r="R66">
        <f t="shared" si="24"/>
        <v>0.12425694766298306</v>
      </c>
      <c r="S66">
        <f t="shared" si="25"/>
        <v>1.0668288039762093E-2</v>
      </c>
      <c r="T66">
        <f t="shared" si="4"/>
        <v>0</v>
      </c>
      <c r="U66">
        <f t="shared" si="5"/>
        <v>-0.24660312069107673</v>
      </c>
      <c r="V66">
        <f t="shared" si="6"/>
        <v>0</v>
      </c>
      <c r="W66">
        <f t="shared" si="7"/>
        <v>-1.0668288039762093E-2</v>
      </c>
    </row>
    <row r="67" spans="1:23" x14ac:dyDescent="0.2">
      <c r="A67" t="s">
        <v>105</v>
      </c>
      <c r="B67">
        <v>-23.373011029681741</v>
      </c>
      <c r="C67">
        <v>3.0196549706062111E-2</v>
      </c>
      <c r="D67">
        <v>9.482791011561376E-3</v>
      </c>
      <c r="E67">
        <v>1.0903052443798291E-5</v>
      </c>
      <c r="F67">
        <v>28.973926067464841</v>
      </c>
      <c r="G67">
        <v>0.2281411501375184</v>
      </c>
      <c r="H67">
        <v>1</v>
      </c>
      <c r="I67">
        <v>4815</v>
      </c>
      <c r="J67">
        <v>4945</v>
      </c>
      <c r="K67">
        <v>87</v>
      </c>
      <c r="L67">
        <v>359</v>
      </c>
      <c r="M67">
        <v>5</v>
      </c>
      <c r="N67" t="s">
        <v>106</v>
      </c>
      <c r="O67" t="s">
        <v>107</v>
      </c>
      <c r="P67">
        <f t="shared" ref="P67:P75" si="26">ABS(B67)</f>
        <v>23.373011029681741</v>
      </c>
      <c r="Q67">
        <f t="shared" ref="Q67:Q75" si="27">(C67/ABS(B67))*100</f>
        <v>0.12919409342559696</v>
      </c>
      <c r="R67">
        <f t="shared" ref="R67:R75" si="28">(E67/ABS(D67))*100</f>
        <v>0.11497725121755123</v>
      </c>
      <c r="S67">
        <f t="shared" ref="S67:S75" si="29">D67+(2*PI())/(365.25*24)</f>
        <v>1.0199558671517979E-2</v>
      </c>
      <c r="T67">
        <f t="shared" ref="T67:T75" si="30">F67/G67-(J67-I67-3)</f>
        <v>0</v>
      </c>
      <c r="U67">
        <f t="shared" ref="U67:U113" si="31">RADIANS(B67)</f>
        <v>-0.40793599857289647</v>
      </c>
      <c r="V67">
        <f t="shared" ref="V67:V113" si="32">$Y$2+$Y$3*(SIN(U67)^2)+$Y$4*(SIN(U67)^4)</f>
        <v>0</v>
      </c>
      <c r="W67">
        <f t="shared" ref="W67:W113" si="33">V67-S67</f>
        <v>-1.0199558671517979E-2</v>
      </c>
    </row>
    <row r="68" spans="1:23" x14ac:dyDescent="0.2">
      <c r="A68" t="s">
        <v>108</v>
      </c>
      <c r="B68">
        <v>-22.125660645594099</v>
      </c>
      <c r="C68">
        <v>2.9316291669044151E-2</v>
      </c>
      <c r="D68">
        <v>9.6566040501663824E-3</v>
      </c>
      <c r="E68">
        <v>8.5025562610155458E-6</v>
      </c>
      <c r="F68">
        <v>252.59967367839059</v>
      </c>
      <c r="G68">
        <v>1.7183651270638809</v>
      </c>
      <c r="H68">
        <v>1.390390772647083E-7</v>
      </c>
      <c r="I68">
        <v>5121</v>
      </c>
      <c r="J68">
        <v>5271</v>
      </c>
      <c r="K68">
        <v>71</v>
      </c>
      <c r="L68">
        <v>350</v>
      </c>
      <c r="M68">
        <v>3</v>
      </c>
      <c r="N68" t="s">
        <v>109</v>
      </c>
      <c r="O68" t="s">
        <v>110</v>
      </c>
      <c r="P68">
        <f t="shared" si="26"/>
        <v>22.125660645594099</v>
      </c>
      <c r="Q68">
        <f t="shared" si="27"/>
        <v>0.13249905681294052</v>
      </c>
      <c r="R68">
        <f t="shared" si="28"/>
        <v>8.8049134217831448E-2</v>
      </c>
      <c r="S68">
        <f t="shared" si="29"/>
        <v>1.0373371710122986E-2</v>
      </c>
      <c r="T68">
        <f t="shared" si="30"/>
        <v>0</v>
      </c>
      <c r="U68">
        <f t="shared" si="31"/>
        <v>-0.38616562744455124</v>
      </c>
      <c r="V68">
        <f t="shared" si="32"/>
        <v>0</v>
      </c>
      <c r="W68">
        <f t="shared" si="33"/>
        <v>-1.0373371710122986E-2</v>
      </c>
    </row>
    <row r="69" spans="1:23" x14ac:dyDescent="0.2">
      <c r="A69" t="s">
        <v>111</v>
      </c>
      <c r="B69">
        <v>-16.27544575882526</v>
      </c>
      <c r="C69">
        <v>2.9989449839213481E-2</v>
      </c>
      <c r="D69">
        <v>9.6406246477482062E-3</v>
      </c>
      <c r="E69">
        <v>6.9339694252129148E-6</v>
      </c>
      <c r="F69">
        <v>110.20611341105401</v>
      </c>
      <c r="G69">
        <v>0.70194976694938882</v>
      </c>
      <c r="H69">
        <v>0.99826277060998381</v>
      </c>
      <c r="I69">
        <v>5121</v>
      </c>
      <c r="J69">
        <v>5281</v>
      </c>
      <c r="K69">
        <v>38</v>
      </c>
      <c r="L69">
        <v>328</v>
      </c>
      <c r="M69">
        <v>3</v>
      </c>
      <c r="N69" t="s">
        <v>109</v>
      </c>
      <c r="O69" t="s">
        <v>112</v>
      </c>
      <c r="P69">
        <f t="shared" si="26"/>
        <v>16.27544575882526</v>
      </c>
      <c r="Q69">
        <f t="shared" si="27"/>
        <v>0.18426192611622874</v>
      </c>
      <c r="R69">
        <f t="shared" si="28"/>
        <v>7.192448288952423E-2</v>
      </c>
      <c r="S69">
        <f t="shared" si="29"/>
        <v>1.035739230770481E-2</v>
      </c>
      <c r="T69">
        <f t="shared" si="30"/>
        <v>0</v>
      </c>
      <c r="U69">
        <f t="shared" si="31"/>
        <v>-0.28406011572124773</v>
      </c>
      <c r="V69">
        <f t="shared" si="32"/>
        <v>0</v>
      </c>
      <c r="W69">
        <f t="shared" si="33"/>
        <v>-1.035739230770481E-2</v>
      </c>
    </row>
    <row r="70" spans="1:23" x14ac:dyDescent="0.2">
      <c r="A70" t="s">
        <v>113</v>
      </c>
      <c r="B70">
        <v>-22.656399774804459</v>
      </c>
      <c r="C70">
        <v>2.891554699574073E-2</v>
      </c>
      <c r="D70">
        <v>9.5807360722138368E-3</v>
      </c>
      <c r="E70">
        <v>7.7934386389746651E-6</v>
      </c>
      <c r="F70">
        <v>103.79107057296839</v>
      </c>
      <c r="G70">
        <v>0.66108962148387485</v>
      </c>
      <c r="H70">
        <v>0.99965260428245251</v>
      </c>
      <c r="I70">
        <v>5235</v>
      </c>
      <c r="J70">
        <v>5395</v>
      </c>
      <c r="K70">
        <v>45</v>
      </c>
      <c r="L70">
        <v>350</v>
      </c>
      <c r="M70">
        <v>3</v>
      </c>
      <c r="N70" t="s">
        <v>114</v>
      </c>
      <c r="O70" t="s">
        <v>115</v>
      </c>
      <c r="P70">
        <f t="shared" si="26"/>
        <v>22.656399774804459</v>
      </c>
      <c r="Q70">
        <f t="shared" si="27"/>
        <v>0.12762639820602428</v>
      </c>
      <c r="R70">
        <f t="shared" si="28"/>
        <v>8.1344883944536248E-2</v>
      </c>
      <c r="S70">
        <f t="shared" si="29"/>
        <v>1.029750373217044E-2</v>
      </c>
      <c r="T70">
        <f t="shared" si="30"/>
        <v>0</v>
      </c>
      <c r="U70">
        <f t="shared" si="31"/>
        <v>-0.39542877271843963</v>
      </c>
      <c r="V70">
        <f t="shared" si="32"/>
        <v>0</v>
      </c>
      <c r="W70">
        <f t="shared" si="33"/>
        <v>-1.029750373217044E-2</v>
      </c>
    </row>
    <row r="71" spans="1:23" x14ac:dyDescent="0.2">
      <c r="A71" t="s">
        <v>116</v>
      </c>
      <c r="B71">
        <v>-16.49660747303675</v>
      </c>
      <c r="C71">
        <v>3.2244734827635568E-2</v>
      </c>
      <c r="D71">
        <v>9.5031596166395733E-3</v>
      </c>
      <c r="E71">
        <v>1.023133618052071E-5</v>
      </c>
      <c r="F71">
        <v>27.70234194524236</v>
      </c>
      <c r="G71">
        <v>0.25890039201161091</v>
      </c>
      <c r="H71">
        <v>0.99999999999999956</v>
      </c>
      <c r="I71">
        <v>5607</v>
      </c>
      <c r="J71">
        <v>5717</v>
      </c>
      <c r="K71">
        <v>133</v>
      </c>
      <c r="L71">
        <v>316</v>
      </c>
      <c r="M71">
        <v>3</v>
      </c>
      <c r="N71" t="s">
        <v>117</v>
      </c>
      <c r="O71" t="s">
        <v>118</v>
      </c>
      <c r="P71">
        <f t="shared" si="26"/>
        <v>16.49660747303675</v>
      </c>
      <c r="Q71">
        <f t="shared" si="27"/>
        <v>0.19546282397964973</v>
      </c>
      <c r="R71">
        <f t="shared" si="28"/>
        <v>0.10766246799228894</v>
      </c>
      <c r="S71">
        <f t="shared" si="29"/>
        <v>1.0219927276596177E-2</v>
      </c>
      <c r="T71">
        <f t="shared" si="30"/>
        <v>0</v>
      </c>
      <c r="U71">
        <f t="shared" si="31"/>
        <v>-0.287920115813593</v>
      </c>
      <c r="V71">
        <f t="shared" si="32"/>
        <v>0</v>
      </c>
      <c r="W71">
        <f t="shared" si="33"/>
        <v>-1.0219927276596177E-2</v>
      </c>
    </row>
    <row r="72" spans="1:23" x14ac:dyDescent="0.2">
      <c r="A72" t="s">
        <v>119</v>
      </c>
      <c r="B72">
        <v>-17.457889020897611</v>
      </c>
      <c r="C72">
        <v>3.2283130593164337E-2</v>
      </c>
      <c r="D72">
        <v>9.638932036274998E-3</v>
      </c>
      <c r="E72">
        <v>1.015835647058505E-5</v>
      </c>
      <c r="F72">
        <v>187.49923634206081</v>
      </c>
      <c r="G72">
        <v>1.7523293116080449</v>
      </c>
      <c r="H72">
        <v>2.456029570434609E-6</v>
      </c>
      <c r="I72">
        <v>5607</v>
      </c>
      <c r="J72">
        <v>5717</v>
      </c>
      <c r="K72">
        <v>64</v>
      </c>
      <c r="L72">
        <v>321</v>
      </c>
      <c r="M72">
        <v>3</v>
      </c>
      <c r="N72" t="s">
        <v>117</v>
      </c>
      <c r="O72" t="s">
        <v>118</v>
      </c>
      <c r="P72">
        <f t="shared" si="26"/>
        <v>17.457889020897611</v>
      </c>
      <c r="Q72">
        <f t="shared" si="27"/>
        <v>0.18492001269180067</v>
      </c>
      <c r="R72">
        <f t="shared" si="28"/>
        <v>0.10538881727099286</v>
      </c>
      <c r="S72">
        <f t="shared" si="29"/>
        <v>1.0355699696231601E-2</v>
      </c>
      <c r="T72">
        <f t="shared" si="30"/>
        <v>0</v>
      </c>
      <c r="U72">
        <f t="shared" si="31"/>
        <v>-0.30469764386243242</v>
      </c>
      <c r="V72">
        <f t="shared" si="32"/>
        <v>0</v>
      </c>
      <c r="W72">
        <f t="shared" si="33"/>
        <v>-1.0355699696231601E-2</v>
      </c>
    </row>
    <row r="73" spans="1:23" x14ac:dyDescent="0.2">
      <c r="A73" t="s">
        <v>120</v>
      </c>
      <c r="B73">
        <v>-18.83968501227308</v>
      </c>
      <c r="C73">
        <v>3.1422023521134428E-2</v>
      </c>
      <c r="D73">
        <v>9.612907770379429E-3</v>
      </c>
      <c r="E73">
        <v>1.126582882824426E-5</v>
      </c>
      <c r="F73">
        <v>67.318028509969039</v>
      </c>
      <c r="G73">
        <v>0.62914045336419666</v>
      </c>
      <c r="H73">
        <v>0.99903088053919253</v>
      </c>
      <c r="I73">
        <v>5607</v>
      </c>
      <c r="J73">
        <v>5717</v>
      </c>
      <c r="K73">
        <v>49</v>
      </c>
      <c r="L73">
        <v>325</v>
      </c>
      <c r="M73">
        <v>3</v>
      </c>
      <c r="N73" t="s">
        <v>117</v>
      </c>
      <c r="O73" t="s">
        <v>118</v>
      </c>
      <c r="P73">
        <f t="shared" si="26"/>
        <v>18.83968501227308</v>
      </c>
      <c r="Q73">
        <f t="shared" si="27"/>
        <v>0.16678635285390708</v>
      </c>
      <c r="R73">
        <f t="shared" si="28"/>
        <v>0.11719480824478554</v>
      </c>
      <c r="S73">
        <f t="shared" si="29"/>
        <v>1.0329675430336032E-2</v>
      </c>
      <c r="T73">
        <f t="shared" si="30"/>
        <v>0</v>
      </c>
      <c r="U73">
        <f t="shared" si="31"/>
        <v>-0.32881453350279355</v>
      </c>
      <c r="V73">
        <f t="shared" si="32"/>
        <v>0</v>
      </c>
      <c r="W73">
        <f t="shared" si="33"/>
        <v>-1.0329675430336032E-2</v>
      </c>
    </row>
    <row r="74" spans="1:23" x14ac:dyDescent="0.2">
      <c r="A74" t="s">
        <v>121</v>
      </c>
      <c r="B74">
        <v>-19.587062240545841</v>
      </c>
      <c r="C74">
        <v>3.5348949061404511E-2</v>
      </c>
      <c r="D74">
        <v>9.33029705724258E-3</v>
      </c>
      <c r="E74">
        <v>1.941190664843358E-5</v>
      </c>
      <c r="F74">
        <v>183.74016523927921</v>
      </c>
      <c r="G74">
        <v>2.1119559222905662</v>
      </c>
      <c r="H74">
        <v>6.8513326665511989E-9</v>
      </c>
      <c r="I74">
        <v>2031</v>
      </c>
      <c r="J74">
        <v>2121</v>
      </c>
      <c r="K74">
        <v>207</v>
      </c>
      <c r="L74">
        <v>322</v>
      </c>
      <c r="M74">
        <v>10</v>
      </c>
      <c r="N74" t="s">
        <v>122</v>
      </c>
      <c r="O74" t="s">
        <v>123</v>
      </c>
      <c r="P74">
        <f t="shared" si="26"/>
        <v>19.587062240545841</v>
      </c>
      <c r="Q74">
        <f t="shared" si="27"/>
        <v>0.18047090792528889</v>
      </c>
      <c r="R74">
        <f t="shared" si="28"/>
        <v>0.20805239671726439</v>
      </c>
      <c r="S74">
        <f t="shared" si="29"/>
        <v>1.0047064717199183E-2</v>
      </c>
      <c r="T74">
        <f t="shared" si="30"/>
        <v>0</v>
      </c>
      <c r="U74">
        <f t="shared" si="31"/>
        <v>-0.3418587268905825</v>
      </c>
      <c r="V74">
        <f t="shared" si="32"/>
        <v>0</v>
      </c>
      <c r="W74">
        <f t="shared" si="33"/>
        <v>-1.0047064717199183E-2</v>
      </c>
    </row>
    <row r="75" spans="1:23" x14ac:dyDescent="0.2">
      <c r="A75" t="s">
        <v>124</v>
      </c>
      <c r="B75">
        <v>-7.7757810122115139</v>
      </c>
      <c r="C75">
        <v>4.3497573871756678E-2</v>
      </c>
      <c r="D75">
        <v>9.9637378297386635E-3</v>
      </c>
      <c r="E75">
        <v>6.1107877808380342E-6</v>
      </c>
      <c r="F75">
        <v>707.98580936147539</v>
      </c>
      <c r="G75">
        <v>4.8162299956562951</v>
      </c>
      <c r="H75">
        <v>2.793572978259395E-74</v>
      </c>
      <c r="I75">
        <v>2042</v>
      </c>
      <c r="J75">
        <v>2192</v>
      </c>
      <c r="K75">
        <v>37</v>
      </c>
      <c r="L75">
        <v>285</v>
      </c>
      <c r="M75">
        <v>15</v>
      </c>
      <c r="N75" t="s">
        <v>125</v>
      </c>
      <c r="O75" t="s">
        <v>126</v>
      </c>
      <c r="P75">
        <f t="shared" si="26"/>
        <v>7.7757810122115139</v>
      </c>
      <c r="Q75">
        <f t="shared" si="27"/>
        <v>0.55939813381377002</v>
      </c>
      <c r="R75">
        <f t="shared" si="28"/>
        <v>6.1330274694695701E-2</v>
      </c>
      <c r="S75">
        <f t="shared" si="29"/>
        <v>1.0680505489695267E-2</v>
      </c>
      <c r="T75">
        <f t="shared" si="30"/>
        <v>0</v>
      </c>
      <c r="U75">
        <f t="shared" si="31"/>
        <v>-0.13571298057714831</v>
      </c>
      <c r="V75">
        <f t="shared" si="32"/>
        <v>0</v>
      </c>
      <c r="W75">
        <f t="shared" si="33"/>
        <v>-1.0680505489695267E-2</v>
      </c>
    </row>
    <row r="76" spans="1:23" x14ac:dyDescent="0.2">
      <c r="A76" t="s">
        <v>127</v>
      </c>
      <c r="B76">
        <v>-14.652571220496929</v>
      </c>
      <c r="C76">
        <v>3.5092524601953563E-2</v>
      </c>
      <c r="D76">
        <v>9.6331981735493233E-3</v>
      </c>
      <c r="E76">
        <v>1.3651547880842599E-5</v>
      </c>
      <c r="F76">
        <v>21.964565872207981</v>
      </c>
      <c r="G76">
        <v>0.25246627439319519</v>
      </c>
      <c r="H76">
        <v>0.99999999999989508</v>
      </c>
      <c r="I76">
        <v>2150</v>
      </c>
      <c r="J76">
        <v>2240</v>
      </c>
      <c r="K76">
        <v>158</v>
      </c>
      <c r="L76">
        <v>308</v>
      </c>
      <c r="M76">
        <v>15</v>
      </c>
      <c r="N76" t="s">
        <v>128</v>
      </c>
      <c r="O76" t="s">
        <v>129</v>
      </c>
      <c r="P76">
        <f t="shared" ref="P76:P112" si="34">ABS(B76)</f>
        <v>14.652571220496929</v>
      </c>
      <c r="Q76">
        <f t="shared" ref="Q76:Q112" si="35">(C76/ABS(B76))*100</f>
        <v>0.23949738290890513</v>
      </c>
      <c r="R76">
        <f t="shared" ref="R76:R112" si="36">(E76/ABS(D76))*100</f>
        <v>0.14171355799911597</v>
      </c>
      <c r="S76">
        <f t="shared" ref="S76:S112" si="37">D76+(2*PI())/(365.25*24)</f>
        <v>1.0349965833505927E-2</v>
      </c>
      <c r="T76">
        <f t="shared" ref="T76:T113" si="38">F76/G76-(J76-I76-3)</f>
        <v>0</v>
      </c>
      <c r="U76">
        <f t="shared" si="31"/>
        <v>-0.25573561168063547</v>
      </c>
      <c r="V76">
        <f t="shared" si="32"/>
        <v>0</v>
      </c>
      <c r="W76">
        <f t="shared" si="33"/>
        <v>-1.0349965833505927E-2</v>
      </c>
    </row>
    <row r="77" spans="1:23" x14ac:dyDescent="0.2">
      <c r="A77" t="s">
        <v>130</v>
      </c>
      <c r="B77">
        <v>-14.047507818449629</v>
      </c>
      <c r="C77">
        <v>3.6129481968780297E-2</v>
      </c>
      <c r="D77">
        <v>9.7777799743098848E-3</v>
      </c>
      <c r="E77">
        <v>1.285892146998647E-5</v>
      </c>
      <c r="F77">
        <v>15.73339824793778</v>
      </c>
      <c r="G77">
        <v>0.1808436580222734</v>
      </c>
      <c r="H77">
        <v>1</v>
      </c>
      <c r="I77">
        <v>2150</v>
      </c>
      <c r="J77">
        <v>2240</v>
      </c>
      <c r="K77">
        <v>131</v>
      </c>
      <c r="L77">
        <v>306</v>
      </c>
      <c r="M77">
        <v>15</v>
      </c>
      <c r="N77" t="s">
        <v>128</v>
      </c>
      <c r="O77" t="s">
        <v>129</v>
      </c>
      <c r="P77">
        <f t="shared" si="34"/>
        <v>14.047507818449629</v>
      </c>
      <c r="Q77">
        <f t="shared" si="35"/>
        <v>0.25719495896153755</v>
      </c>
      <c r="R77">
        <f t="shared" si="36"/>
        <v>0.13151166730865255</v>
      </c>
      <c r="S77">
        <f t="shared" si="37"/>
        <v>1.0494547634266488E-2</v>
      </c>
      <c r="T77">
        <f t="shared" si="38"/>
        <v>0</v>
      </c>
      <c r="U77">
        <f t="shared" si="31"/>
        <v>-0.24517526313159188</v>
      </c>
      <c r="V77">
        <f t="shared" si="32"/>
        <v>0</v>
      </c>
      <c r="W77">
        <f t="shared" si="33"/>
        <v>-1.0494547634266488E-2</v>
      </c>
    </row>
    <row r="78" spans="1:23" x14ac:dyDescent="0.2">
      <c r="A78" t="s">
        <v>131</v>
      </c>
      <c r="B78">
        <v>-14.652571220496929</v>
      </c>
      <c r="C78">
        <v>3.5092524601953563E-2</v>
      </c>
      <c r="D78">
        <v>9.6331981735493233E-3</v>
      </c>
      <c r="E78">
        <v>1.3651547880842599E-5</v>
      </c>
      <c r="F78">
        <v>21.964565872207981</v>
      </c>
      <c r="G78">
        <v>0.25246627439319519</v>
      </c>
      <c r="H78">
        <v>0.99999999999989508</v>
      </c>
      <c r="I78">
        <v>2150</v>
      </c>
      <c r="J78">
        <v>2240</v>
      </c>
      <c r="K78">
        <v>156</v>
      </c>
      <c r="L78">
        <v>297</v>
      </c>
      <c r="M78">
        <v>15</v>
      </c>
      <c r="N78" t="s">
        <v>128</v>
      </c>
      <c r="O78" t="s">
        <v>129</v>
      </c>
      <c r="P78">
        <f t="shared" si="34"/>
        <v>14.652571220496929</v>
      </c>
      <c r="Q78">
        <f t="shared" si="35"/>
        <v>0.23949738290890513</v>
      </c>
      <c r="R78">
        <f t="shared" si="36"/>
        <v>0.14171355799911597</v>
      </c>
      <c r="S78">
        <f t="shared" si="37"/>
        <v>1.0349965833505927E-2</v>
      </c>
      <c r="T78">
        <f t="shared" si="38"/>
        <v>0</v>
      </c>
      <c r="U78">
        <f t="shared" si="31"/>
        <v>-0.25573561168063547</v>
      </c>
      <c r="V78">
        <f t="shared" si="32"/>
        <v>0</v>
      </c>
      <c r="W78">
        <f t="shared" si="33"/>
        <v>-1.0349965833505927E-2</v>
      </c>
    </row>
    <row r="79" spans="1:23" x14ac:dyDescent="0.2">
      <c r="A79" t="s">
        <v>132</v>
      </c>
      <c r="B79">
        <v>-14.652571220496929</v>
      </c>
      <c r="C79">
        <v>3.5092524601953563E-2</v>
      </c>
      <c r="D79">
        <v>9.6331981735493233E-3</v>
      </c>
      <c r="E79">
        <v>1.3651547880842599E-5</v>
      </c>
      <c r="F79">
        <v>21.964565872207981</v>
      </c>
      <c r="G79">
        <v>0.25246627439319519</v>
      </c>
      <c r="H79">
        <v>0.99999999999989508</v>
      </c>
      <c r="I79">
        <v>2150</v>
      </c>
      <c r="J79">
        <v>2240</v>
      </c>
      <c r="K79">
        <v>153</v>
      </c>
      <c r="L79">
        <v>293</v>
      </c>
      <c r="M79">
        <v>15</v>
      </c>
      <c r="N79" t="s">
        <v>128</v>
      </c>
      <c r="O79" t="s">
        <v>129</v>
      </c>
      <c r="P79">
        <f t="shared" si="34"/>
        <v>14.652571220496929</v>
      </c>
      <c r="Q79">
        <f t="shared" si="35"/>
        <v>0.23949738290890513</v>
      </c>
      <c r="R79">
        <f t="shared" si="36"/>
        <v>0.14171355799911597</v>
      </c>
      <c r="S79">
        <f t="shared" si="37"/>
        <v>1.0349965833505927E-2</v>
      </c>
      <c r="T79">
        <f t="shared" si="38"/>
        <v>0</v>
      </c>
      <c r="U79">
        <f t="shared" si="31"/>
        <v>-0.25573561168063547</v>
      </c>
      <c r="V79">
        <f t="shared" si="32"/>
        <v>0</v>
      </c>
      <c r="W79">
        <f t="shared" si="33"/>
        <v>-1.0349965833505927E-2</v>
      </c>
    </row>
    <row r="80" spans="1:23" x14ac:dyDescent="0.2">
      <c r="A80" t="s">
        <v>133</v>
      </c>
      <c r="B80">
        <v>-7.9109650269209384</v>
      </c>
      <c r="C80">
        <v>4.3504319303650618E-2</v>
      </c>
      <c r="D80">
        <v>9.7365763434013718E-3</v>
      </c>
      <c r="E80">
        <v>1.0775476270356909E-5</v>
      </c>
      <c r="F80">
        <v>67.880216428182294</v>
      </c>
      <c r="G80">
        <v>0.7802323727377275</v>
      </c>
      <c r="H80">
        <v>0.93576997888023661</v>
      </c>
      <c r="I80">
        <v>2150</v>
      </c>
      <c r="J80">
        <v>2240</v>
      </c>
      <c r="K80">
        <v>111</v>
      </c>
      <c r="L80">
        <v>278</v>
      </c>
      <c r="M80">
        <v>15</v>
      </c>
      <c r="N80" t="s">
        <v>128</v>
      </c>
      <c r="O80" t="s">
        <v>129</v>
      </c>
      <c r="P80">
        <f t="shared" si="34"/>
        <v>7.9109650269209384</v>
      </c>
      <c r="Q80">
        <f t="shared" si="35"/>
        <v>0.54992430323741592</v>
      </c>
      <c r="R80">
        <f t="shared" si="36"/>
        <v>0.11067007426752849</v>
      </c>
      <c r="S80">
        <f t="shared" si="37"/>
        <v>1.0453344003357975E-2</v>
      </c>
      <c r="T80">
        <f t="shared" si="38"/>
        <v>0</v>
      </c>
      <c r="U80">
        <f t="shared" si="31"/>
        <v>-0.13807238672989222</v>
      </c>
      <c r="V80">
        <f t="shared" si="32"/>
        <v>0</v>
      </c>
      <c r="W80">
        <f t="shared" si="33"/>
        <v>-1.0453344003357975E-2</v>
      </c>
    </row>
    <row r="81" spans="1:23" x14ac:dyDescent="0.2">
      <c r="A81" t="s">
        <v>134</v>
      </c>
      <c r="B81">
        <v>-7.3059084596255062</v>
      </c>
      <c r="C81">
        <v>5.6096918955537589E-2</v>
      </c>
      <c r="D81">
        <v>1.0770620571195631E-2</v>
      </c>
      <c r="E81">
        <v>1.7991058313206959E-5</v>
      </c>
      <c r="F81">
        <v>139.40830235327331</v>
      </c>
      <c r="G81">
        <v>1.858777364710311</v>
      </c>
      <c r="H81">
        <v>9.1831777216536185E-6</v>
      </c>
      <c r="I81">
        <v>2150</v>
      </c>
      <c r="J81">
        <v>2228</v>
      </c>
      <c r="K81">
        <v>230</v>
      </c>
      <c r="L81">
        <v>276</v>
      </c>
      <c r="M81">
        <v>15</v>
      </c>
      <c r="N81" t="s">
        <v>128</v>
      </c>
      <c r="O81" t="s">
        <v>135</v>
      </c>
      <c r="P81">
        <f t="shared" si="34"/>
        <v>7.3059084596255062</v>
      </c>
      <c r="Q81">
        <f t="shared" si="35"/>
        <v>0.7678294802835931</v>
      </c>
      <c r="R81">
        <f t="shared" si="36"/>
        <v>0.16703827039754124</v>
      </c>
      <c r="S81">
        <f t="shared" si="37"/>
        <v>1.1487388231152234E-2</v>
      </c>
      <c r="T81">
        <f t="shared" si="38"/>
        <v>0</v>
      </c>
      <c r="U81">
        <f t="shared" si="31"/>
        <v>-0.12751215746977229</v>
      </c>
      <c r="V81">
        <f t="shared" si="32"/>
        <v>0</v>
      </c>
      <c r="W81">
        <f t="shared" si="33"/>
        <v>-1.1487388231152234E-2</v>
      </c>
    </row>
    <row r="82" spans="1:23" x14ac:dyDescent="0.2">
      <c r="A82" t="s">
        <v>136</v>
      </c>
      <c r="B82">
        <v>-8.8520855505861888</v>
      </c>
      <c r="C82">
        <v>4.0381961674682998E-2</v>
      </c>
      <c r="D82">
        <v>9.9010843667867911E-3</v>
      </c>
      <c r="E82">
        <v>1.388779586772711E-5</v>
      </c>
      <c r="F82">
        <v>27.944562884906791</v>
      </c>
      <c r="G82">
        <v>0.34078735225496087</v>
      </c>
      <c r="H82">
        <v>0.99999999655860949</v>
      </c>
      <c r="I82">
        <v>2177</v>
      </c>
      <c r="J82">
        <v>2262</v>
      </c>
      <c r="K82">
        <v>60</v>
      </c>
      <c r="L82">
        <v>288</v>
      </c>
      <c r="M82">
        <v>15</v>
      </c>
      <c r="N82" t="s">
        <v>137</v>
      </c>
      <c r="O82" t="s">
        <v>138</v>
      </c>
      <c r="P82">
        <f t="shared" si="34"/>
        <v>8.8520855505861888</v>
      </c>
      <c r="Q82">
        <f t="shared" si="35"/>
        <v>0.45618584958217995</v>
      </c>
      <c r="R82">
        <f t="shared" si="36"/>
        <v>0.14026540279076655</v>
      </c>
      <c r="S82">
        <f t="shared" si="37"/>
        <v>1.0617852026743394E-2</v>
      </c>
      <c r="T82">
        <f t="shared" si="38"/>
        <v>0</v>
      </c>
      <c r="U82">
        <f t="shared" si="31"/>
        <v>-0.15449803852594407</v>
      </c>
      <c r="V82">
        <f t="shared" si="32"/>
        <v>0</v>
      </c>
      <c r="W82">
        <f t="shared" si="33"/>
        <v>-1.0617852026743394E-2</v>
      </c>
    </row>
    <row r="83" spans="1:23" x14ac:dyDescent="0.2">
      <c r="A83" t="s">
        <v>139</v>
      </c>
      <c r="B83">
        <v>16.40340481199512</v>
      </c>
      <c r="C83">
        <v>3.4254752709433227E-2</v>
      </c>
      <c r="D83">
        <v>9.8332163347209789E-3</v>
      </c>
      <c r="E83">
        <v>1.242059243874137E-5</v>
      </c>
      <c r="F83">
        <v>39.942913158602828</v>
      </c>
      <c r="G83">
        <v>0.41178260988250343</v>
      </c>
      <c r="H83">
        <v>0.99999995222829796</v>
      </c>
      <c r="I83">
        <v>2251</v>
      </c>
      <c r="J83">
        <v>2351</v>
      </c>
      <c r="K83">
        <v>100</v>
      </c>
      <c r="L83">
        <v>185</v>
      </c>
      <c r="M83">
        <v>15</v>
      </c>
      <c r="N83" t="s">
        <v>140</v>
      </c>
      <c r="O83" t="s">
        <v>141</v>
      </c>
      <c r="P83">
        <f t="shared" si="34"/>
        <v>16.40340481199512</v>
      </c>
      <c r="Q83">
        <f t="shared" si="35"/>
        <v>0.20882708865652189</v>
      </c>
      <c r="R83">
        <f t="shared" si="36"/>
        <v>0.12631261243469641</v>
      </c>
      <c r="S83">
        <f t="shared" si="37"/>
        <v>1.0549983994677582E-2</v>
      </c>
      <c r="T83">
        <f t="shared" si="38"/>
        <v>0</v>
      </c>
      <c r="U83">
        <f t="shared" si="31"/>
        <v>0.28629342250679629</v>
      </c>
      <c r="V83">
        <f t="shared" si="32"/>
        <v>0</v>
      </c>
      <c r="W83">
        <f t="shared" si="33"/>
        <v>-1.0549983994677582E-2</v>
      </c>
    </row>
    <row r="84" spans="1:23" x14ac:dyDescent="0.2">
      <c r="A84" t="s">
        <v>142</v>
      </c>
      <c r="B84">
        <v>-8.7777076765650097</v>
      </c>
      <c r="C84">
        <v>4.7505208484944113E-2</v>
      </c>
      <c r="D84">
        <v>1.063271019652217E-2</v>
      </c>
      <c r="E84">
        <v>3.0689318924622738E-5</v>
      </c>
      <c r="F84">
        <v>46.753113799951308</v>
      </c>
      <c r="G84">
        <v>1.0389580844433619</v>
      </c>
      <c r="H84">
        <v>0.40030030016768908</v>
      </c>
      <c r="I84">
        <v>2242</v>
      </c>
      <c r="J84">
        <v>2290</v>
      </c>
      <c r="K84">
        <v>183</v>
      </c>
      <c r="L84">
        <v>290</v>
      </c>
      <c r="M84">
        <v>15</v>
      </c>
      <c r="N84" t="s">
        <v>143</v>
      </c>
      <c r="O84" t="s">
        <v>144</v>
      </c>
      <c r="P84">
        <f t="shared" si="34"/>
        <v>8.7777076765650097</v>
      </c>
      <c r="Q84">
        <f t="shared" si="35"/>
        <v>0.54120289983881509</v>
      </c>
      <c r="R84">
        <f t="shared" si="36"/>
        <v>0.28863119898312323</v>
      </c>
      <c r="S84">
        <f t="shared" si="37"/>
        <v>1.1349477856478773E-2</v>
      </c>
      <c r="T84">
        <f t="shared" si="38"/>
        <v>0</v>
      </c>
      <c r="U84">
        <f t="shared" si="31"/>
        <v>-0.15319989973364093</v>
      </c>
      <c r="V84">
        <f t="shared" si="32"/>
        <v>0</v>
      </c>
      <c r="W84">
        <f t="shared" si="33"/>
        <v>-1.1349477856478773E-2</v>
      </c>
    </row>
    <row r="85" spans="1:23" x14ac:dyDescent="0.2">
      <c r="A85" t="s">
        <v>145</v>
      </c>
      <c r="B85">
        <v>4.4693404639064971</v>
      </c>
      <c r="C85">
        <v>4.8091823273447958E-2</v>
      </c>
      <c r="D85">
        <v>1.0164938199684991E-2</v>
      </c>
      <c r="E85">
        <v>1.3233548729884531E-5</v>
      </c>
      <c r="F85">
        <v>87.964994231495865</v>
      </c>
      <c r="G85">
        <v>1.1424025224869589</v>
      </c>
      <c r="H85">
        <v>0.18460320948832451</v>
      </c>
      <c r="I85">
        <v>2275</v>
      </c>
      <c r="J85">
        <v>2355</v>
      </c>
      <c r="K85">
        <v>173</v>
      </c>
      <c r="L85">
        <v>232</v>
      </c>
      <c r="M85">
        <v>5</v>
      </c>
      <c r="N85" t="s">
        <v>146</v>
      </c>
      <c r="O85" t="s">
        <v>147</v>
      </c>
      <c r="P85">
        <f t="shared" si="34"/>
        <v>4.4693404639064971</v>
      </c>
      <c r="Q85">
        <f t="shared" si="35"/>
        <v>1.0760384817811026</v>
      </c>
      <c r="R85">
        <f t="shared" si="36"/>
        <v>0.13018818678400462</v>
      </c>
      <c r="S85">
        <f t="shared" si="37"/>
        <v>1.0881705859641594E-2</v>
      </c>
      <c r="T85">
        <f t="shared" si="38"/>
        <v>0</v>
      </c>
      <c r="U85">
        <f t="shared" si="31"/>
        <v>7.8004706487779157E-2</v>
      </c>
      <c r="V85">
        <f t="shared" si="32"/>
        <v>0</v>
      </c>
      <c r="W85">
        <f t="shared" si="33"/>
        <v>-1.0881705859641594E-2</v>
      </c>
    </row>
    <row r="86" spans="1:23" x14ac:dyDescent="0.2">
      <c r="A86" t="s">
        <v>148</v>
      </c>
      <c r="B86">
        <v>21.739751652511959</v>
      </c>
      <c r="C86">
        <v>3.4520720601125987E-2</v>
      </c>
      <c r="D86">
        <v>9.6203434300931086E-3</v>
      </c>
      <c r="E86">
        <v>2.2131697276072051E-5</v>
      </c>
      <c r="F86">
        <v>36.158216869570623</v>
      </c>
      <c r="G86">
        <v>0.46958723207234582</v>
      </c>
      <c r="H86">
        <v>0.99998023453687102</v>
      </c>
      <c r="I86">
        <v>2332</v>
      </c>
      <c r="J86">
        <v>2412</v>
      </c>
      <c r="K86">
        <v>157</v>
      </c>
      <c r="L86">
        <v>168</v>
      </c>
      <c r="M86">
        <v>5</v>
      </c>
      <c r="N86" t="s">
        <v>149</v>
      </c>
      <c r="O86" t="s">
        <v>150</v>
      </c>
      <c r="P86">
        <f t="shared" si="34"/>
        <v>21.739751652511959</v>
      </c>
      <c r="Q86">
        <f t="shared" si="35"/>
        <v>0.15879077715746226</v>
      </c>
      <c r="R86">
        <f t="shared" si="36"/>
        <v>0.23005101051634552</v>
      </c>
      <c r="S86">
        <f t="shared" si="37"/>
        <v>1.0337111090049712E-2</v>
      </c>
      <c r="T86">
        <f t="shared" si="38"/>
        <v>0</v>
      </c>
      <c r="U86">
        <f t="shared" si="31"/>
        <v>0.37943024490221189</v>
      </c>
      <c r="V86">
        <f t="shared" si="32"/>
        <v>0</v>
      </c>
      <c r="W86">
        <f t="shared" si="33"/>
        <v>-1.0337111090049712E-2</v>
      </c>
    </row>
    <row r="87" spans="1:23" x14ac:dyDescent="0.2">
      <c r="A87" t="s">
        <v>151</v>
      </c>
      <c r="B87">
        <v>-4.2996804377477824</v>
      </c>
      <c r="C87">
        <v>5.0121122816294772E-2</v>
      </c>
      <c r="D87">
        <v>9.6701384199551245E-3</v>
      </c>
      <c r="E87">
        <v>1.307986211644706E-5</v>
      </c>
      <c r="F87">
        <v>139.86911783247251</v>
      </c>
      <c r="G87">
        <v>1.840383129374638</v>
      </c>
      <c r="H87">
        <v>1.139290261310377E-5</v>
      </c>
      <c r="I87">
        <v>2372</v>
      </c>
      <c r="J87">
        <v>2451</v>
      </c>
      <c r="K87">
        <v>187</v>
      </c>
      <c r="L87">
        <v>271</v>
      </c>
      <c r="M87">
        <v>5</v>
      </c>
      <c r="N87" t="s">
        <v>152</v>
      </c>
      <c r="O87" t="s">
        <v>153</v>
      </c>
      <c r="P87">
        <f t="shared" si="34"/>
        <v>4.2996804377477824</v>
      </c>
      <c r="Q87">
        <f t="shared" si="35"/>
        <v>1.1656941380171206</v>
      </c>
      <c r="R87">
        <f t="shared" si="36"/>
        <v>0.13526034011525306</v>
      </c>
      <c r="S87">
        <f t="shared" si="37"/>
        <v>1.0386906079911728E-2</v>
      </c>
      <c r="T87">
        <f t="shared" si="38"/>
        <v>0</v>
      </c>
      <c r="U87">
        <f t="shared" si="31"/>
        <v>-7.5043580422289882E-2</v>
      </c>
      <c r="V87">
        <f t="shared" si="32"/>
        <v>0</v>
      </c>
      <c r="W87">
        <f t="shared" si="33"/>
        <v>-1.0386906079911728E-2</v>
      </c>
    </row>
    <row r="88" spans="1:23" x14ac:dyDescent="0.2">
      <c r="A88" t="s">
        <v>154</v>
      </c>
      <c r="B88">
        <v>16.951878658070779</v>
      </c>
      <c r="C88">
        <v>3.1198422049364179E-2</v>
      </c>
      <c r="D88">
        <v>9.6059015194235771E-3</v>
      </c>
      <c r="E88">
        <v>7.4076853106114406E-6</v>
      </c>
      <c r="F88">
        <v>27.302263579927029</v>
      </c>
      <c r="G88">
        <v>0.18572968421719069</v>
      </c>
      <c r="H88">
        <v>1</v>
      </c>
      <c r="I88">
        <v>2372</v>
      </c>
      <c r="J88">
        <v>2522</v>
      </c>
      <c r="K88">
        <v>46</v>
      </c>
      <c r="L88">
        <v>188</v>
      </c>
      <c r="M88">
        <v>5</v>
      </c>
      <c r="N88" t="s">
        <v>152</v>
      </c>
      <c r="O88" t="s">
        <v>155</v>
      </c>
      <c r="P88">
        <f t="shared" si="34"/>
        <v>16.951878658070779</v>
      </c>
      <c r="Q88">
        <f t="shared" si="35"/>
        <v>0.18404108877048048</v>
      </c>
      <c r="R88">
        <f t="shared" si="36"/>
        <v>7.711598224937824E-2</v>
      </c>
      <c r="S88">
        <f t="shared" si="37"/>
        <v>1.032266917938018E-2</v>
      </c>
      <c r="T88">
        <f t="shared" si="38"/>
        <v>0</v>
      </c>
      <c r="U88">
        <f t="shared" si="31"/>
        <v>0.29586609698189309</v>
      </c>
      <c r="V88">
        <f t="shared" si="32"/>
        <v>0</v>
      </c>
      <c r="W88">
        <f t="shared" si="33"/>
        <v>-1.032266917938018E-2</v>
      </c>
    </row>
    <row r="89" spans="1:23" x14ac:dyDescent="0.2">
      <c r="A89" t="s">
        <v>156</v>
      </c>
      <c r="B89">
        <v>-8.2121852929993207</v>
      </c>
      <c r="C89">
        <v>4.2193562871602808E-2</v>
      </c>
      <c r="D89">
        <v>1.0154882525076811E-2</v>
      </c>
      <c r="E89">
        <v>1.427649889678805E-5</v>
      </c>
      <c r="F89">
        <v>36.703387629602943</v>
      </c>
      <c r="G89">
        <v>0.49599172472436398</v>
      </c>
      <c r="H89">
        <v>0.99991583250206761</v>
      </c>
      <c r="I89">
        <v>2372</v>
      </c>
      <c r="J89">
        <v>2449</v>
      </c>
      <c r="K89">
        <v>141</v>
      </c>
      <c r="L89">
        <v>286</v>
      </c>
      <c r="M89">
        <v>5</v>
      </c>
      <c r="N89" t="s">
        <v>152</v>
      </c>
      <c r="O89" t="s">
        <v>157</v>
      </c>
      <c r="P89">
        <f t="shared" si="34"/>
        <v>8.2121852929993207</v>
      </c>
      <c r="Q89">
        <f t="shared" si="35"/>
        <v>0.51379214382281102</v>
      </c>
      <c r="R89">
        <f t="shared" si="36"/>
        <v>0.1405875337457935</v>
      </c>
      <c r="S89">
        <f t="shared" si="37"/>
        <v>1.0871650185033414E-2</v>
      </c>
      <c r="T89">
        <f t="shared" si="38"/>
        <v>0</v>
      </c>
      <c r="U89">
        <f t="shared" si="31"/>
        <v>-0.14332967214669337</v>
      </c>
      <c r="V89">
        <f t="shared" si="32"/>
        <v>0</v>
      </c>
      <c r="W89">
        <f t="shared" si="33"/>
        <v>-1.0871650185033414E-2</v>
      </c>
    </row>
    <row r="90" spans="1:23" x14ac:dyDescent="0.2">
      <c r="A90" t="s">
        <v>158</v>
      </c>
      <c r="B90">
        <v>-18.080341978253369</v>
      </c>
      <c r="C90">
        <v>3.1574951314521371E-2</v>
      </c>
      <c r="D90">
        <v>9.6546561258923445E-3</v>
      </c>
      <c r="E90">
        <v>1.0766467954511841E-5</v>
      </c>
      <c r="F90">
        <v>60.537783373943682</v>
      </c>
      <c r="G90">
        <v>0.51741695191404846</v>
      </c>
      <c r="H90">
        <v>0.99999654298122576</v>
      </c>
      <c r="I90">
        <v>2380</v>
      </c>
      <c r="J90">
        <v>2500</v>
      </c>
      <c r="K90">
        <v>49</v>
      </c>
      <c r="L90">
        <v>328</v>
      </c>
      <c r="M90">
        <v>3</v>
      </c>
      <c r="N90" t="s">
        <v>159</v>
      </c>
      <c r="O90" t="s">
        <v>160</v>
      </c>
      <c r="P90">
        <f t="shared" si="34"/>
        <v>18.080341978253369</v>
      </c>
      <c r="Q90">
        <f t="shared" si="35"/>
        <v>0.17463691423812125</v>
      </c>
      <c r="R90">
        <f t="shared" si="36"/>
        <v>0.1115158097204289</v>
      </c>
      <c r="S90">
        <f t="shared" si="37"/>
        <v>1.0371423785848948E-2</v>
      </c>
      <c r="T90">
        <f t="shared" si="38"/>
        <v>0</v>
      </c>
      <c r="U90">
        <f t="shared" si="31"/>
        <v>-0.31556149740706629</v>
      </c>
      <c r="V90">
        <f t="shared" si="32"/>
        <v>0</v>
      </c>
      <c r="W90">
        <f t="shared" si="33"/>
        <v>-1.0371423785848948E-2</v>
      </c>
    </row>
    <row r="91" spans="1:23" x14ac:dyDescent="0.2">
      <c r="A91" t="s">
        <v>161</v>
      </c>
      <c r="B91">
        <v>-14.265572337452991</v>
      </c>
      <c r="C91">
        <v>3.7185687952948847E-2</v>
      </c>
      <c r="D91">
        <v>9.7362337464218761E-3</v>
      </c>
      <c r="E91">
        <v>2.1706275643730919E-5</v>
      </c>
      <c r="F91">
        <v>13.15515562774377</v>
      </c>
      <c r="G91">
        <v>0.1963456063842354</v>
      </c>
      <c r="H91">
        <v>0.99999999999991351</v>
      </c>
      <c r="I91">
        <v>2478</v>
      </c>
      <c r="J91">
        <v>2548</v>
      </c>
      <c r="K91">
        <v>165</v>
      </c>
      <c r="L91">
        <v>315</v>
      </c>
      <c r="M91">
        <v>3</v>
      </c>
      <c r="N91" t="s">
        <v>162</v>
      </c>
      <c r="O91" t="s">
        <v>163</v>
      </c>
      <c r="P91">
        <f t="shared" si="34"/>
        <v>14.265572337452991</v>
      </c>
      <c r="Q91">
        <f t="shared" si="35"/>
        <v>0.2606673400359909</v>
      </c>
      <c r="R91">
        <f t="shared" si="36"/>
        <v>0.22294324693784293</v>
      </c>
      <c r="S91">
        <f t="shared" si="37"/>
        <v>1.0453001406378479E-2</v>
      </c>
      <c r="T91">
        <f t="shared" si="38"/>
        <v>0</v>
      </c>
      <c r="U91">
        <f t="shared" si="31"/>
        <v>-0.24898120696997827</v>
      </c>
      <c r="V91">
        <f t="shared" si="32"/>
        <v>0</v>
      </c>
      <c r="W91">
        <f t="shared" si="33"/>
        <v>-1.0453001406378479E-2</v>
      </c>
    </row>
    <row r="92" spans="1:23" x14ac:dyDescent="0.2">
      <c r="A92" t="s">
        <v>164</v>
      </c>
      <c r="B92">
        <v>-21.47141328853748</v>
      </c>
      <c r="C92">
        <v>3.5540473856503503E-2</v>
      </c>
      <c r="D92">
        <v>9.519144484709802E-3</v>
      </c>
      <c r="E92">
        <v>2.9090782813908711E-5</v>
      </c>
      <c r="F92">
        <v>25.85697691010764</v>
      </c>
      <c r="G92">
        <v>0.38592502850906918</v>
      </c>
      <c r="H92">
        <v>0.9999986843520382</v>
      </c>
      <c r="I92">
        <v>2478</v>
      </c>
      <c r="J92">
        <v>2548</v>
      </c>
      <c r="K92">
        <v>126</v>
      </c>
      <c r="L92">
        <v>345</v>
      </c>
      <c r="M92">
        <v>3</v>
      </c>
      <c r="N92" t="s">
        <v>162</v>
      </c>
      <c r="O92" t="s">
        <v>163</v>
      </c>
      <c r="P92">
        <f t="shared" si="34"/>
        <v>21.47141328853748</v>
      </c>
      <c r="Q92">
        <f t="shared" si="35"/>
        <v>0.16552461348912134</v>
      </c>
      <c r="R92">
        <f t="shared" si="36"/>
        <v>0.3056029127474218</v>
      </c>
      <c r="S92">
        <f t="shared" si="37"/>
        <v>1.0235912144666405E-2</v>
      </c>
      <c r="T92">
        <f t="shared" si="38"/>
        <v>0</v>
      </c>
      <c r="U92">
        <f t="shared" si="31"/>
        <v>-0.37474685694144227</v>
      </c>
      <c r="V92">
        <f t="shared" si="32"/>
        <v>0</v>
      </c>
      <c r="W92">
        <f t="shared" si="33"/>
        <v>-1.0235912144666405E-2</v>
      </c>
    </row>
    <row r="93" spans="1:23" x14ac:dyDescent="0.2">
      <c r="A93" t="s">
        <v>165</v>
      </c>
      <c r="B93">
        <v>-8.9326383713878617</v>
      </c>
      <c r="C93">
        <v>3.6266127401736632E-2</v>
      </c>
      <c r="D93">
        <v>9.7337698265928477E-3</v>
      </c>
      <c r="E93">
        <v>7.7019440031454876E-6</v>
      </c>
      <c r="F93">
        <v>79.550612722890236</v>
      </c>
      <c r="G93">
        <v>0.62638277734559245</v>
      </c>
      <c r="H93">
        <v>0.99968115182057071</v>
      </c>
      <c r="I93">
        <v>2478</v>
      </c>
      <c r="J93">
        <v>2608</v>
      </c>
      <c r="K93">
        <v>96</v>
      </c>
      <c r="L93">
        <v>297</v>
      </c>
      <c r="M93">
        <v>3</v>
      </c>
      <c r="N93" t="s">
        <v>162</v>
      </c>
      <c r="O93" t="s">
        <v>166</v>
      </c>
      <c r="P93">
        <f t="shared" si="34"/>
        <v>8.9326383713878617</v>
      </c>
      <c r="Q93">
        <f t="shared" si="35"/>
        <v>0.40599569683578235</v>
      </c>
      <c r="R93">
        <f t="shared" si="36"/>
        <v>7.9126013254429209E-2</v>
      </c>
      <c r="S93">
        <f t="shared" si="37"/>
        <v>1.0450537486549451E-2</v>
      </c>
      <c r="T93">
        <f t="shared" si="38"/>
        <v>0</v>
      </c>
      <c r="U93">
        <f t="shared" si="31"/>
        <v>-0.15590395047070224</v>
      </c>
      <c r="V93">
        <f t="shared" si="32"/>
        <v>0</v>
      </c>
      <c r="W93">
        <f t="shared" si="33"/>
        <v>-1.0450537486549451E-2</v>
      </c>
    </row>
    <row r="94" spans="1:23" x14ac:dyDescent="0.2">
      <c r="A94" t="s">
        <v>167</v>
      </c>
      <c r="B94">
        <v>-10.749044688609651</v>
      </c>
      <c r="C94">
        <v>3.5089035682929648E-2</v>
      </c>
      <c r="D94">
        <v>9.8804713943132401E-3</v>
      </c>
      <c r="E94">
        <v>8.6133609976742893E-6</v>
      </c>
      <c r="F94">
        <v>50.975350266716397</v>
      </c>
      <c r="G94">
        <v>0.4356867544163795</v>
      </c>
      <c r="H94">
        <v>0.99999998470353657</v>
      </c>
      <c r="I94">
        <v>2478</v>
      </c>
      <c r="J94">
        <v>2598</v>
      </c>
      <c r="K94">
        <v>61</v>
      </c>
      <c r="L94">
        <v>299</v>
      </c>
      <c r="M94">
        <v>3</v>
      </c>
      <c r="N94" t="s">
        <v>162</v>
      </c>
      <c r="O94" t="s">
        <v>168</v>
      </c>
      <c r="P94">
        <f t="shared" si="34"/>
        <v>10.749044688609651</v>
      </c>
      <c r="Q94">
        <f t="shared" si="35"/>
        <v>0.32643864361371711</v>
      </c>
      <c r="R94">
        <f t="shared" si="36"/>
        <v>8.7175607862513077E-2</v>
      </c>
      <c r="S94">
        <f t="shared" si="37"/>
        <v>1.0597239054269843E-2</v>
      </c>
      <c r="T94">
        <f t="shared" si="38"/>
        <v>0</v>
      </c>
      <c r="U94">
        <f t="shared" si="31"/>
        <v>-0.18760622126024704</v>
      </c>
      <c r="V94">
        <f t="shared" si="32"/>
        <v>0</v>
      </c>
      <c r="W94">
        <f t="shared" si="33"/>
        <v>-1.0597239054269843E-2</v>
      </c>
    </row>
    <row r="95" spans="1:23" x14ac:dyDescent="0.2">
      <c r="A95" t="s">
        <v>169</v>
      </c>
      <c r="B95">
        <v>-26.71038217754603</v>
      </c>
      <c r="C95">
        <v>3.4204061223132243E-2</v>
      </c>
      <c r="D95">
        <v>9.5952869122494424E-3</v>
      </c>
      <c r="E95">
        <v>2.838049061912909E-5</v>
      </c>
      <c r="F95">
        <v>23.217844365752189</v>
      </c>
      <c r="G95">
        <v>0.30153044630846992</v>
      </c>
      <c r="H95">
        <v>0.99999999961140507</v>
      </c>
      <c r="I95">
        <v>2562</v>
      </c>
      <c r="J95">
        <v>2642</v>
      </c>
      <c r="K95">
        <v>173</v>
      </c>
      <c r="L95">
        <v>360</v>
      </c>
      <c r="M95">
        <v>5</v>
      </c>
      <c r="N95" t="s">
        <v>170</v>
      </c>
      <c r="O95" t="s">
        <v>171</v>
      </c>
      <c r="P95">
        <f t="shared" si="34"/>
        <v>26.71038217754603</v>
      </c>
      <c r="Q95">
        <f t="shared" si="35"/>
        <v>0.12805530447215294</v>
      </c>
      <c r="R95">
        <f t="shared" si="36"/>
        <v>0.29577532051593225</v>
      </c>
      <c r="S95">
        <f t="shared" si="37"/>
        <v>1.0312054572206046E-2</v>
      </c>
      <c r="T95">
        <f t="shared" si="38"/>
        <v>0</v>
      </c>
      <c r="U95">
        <f t="shared" si="31"/>
        <v>-0.46618411346419086</v>
      </c>
      <c r="V95">
        <f t="shared" si="32"/>
        <v>0</v>
      </c>
      <c r="W95">
        <f t="shared" si="33"/>
        <v>-1.0312054572206046E-2</v>
      </c>
    </row>
    <row r="96" spans="1:23" x14ac:dyDescent="0.2">
      <c r="A96" t="s">
        <v>172</v>
      </c>
      <c r="B96">
        <v>-27.277452656343439</v>
      </c>
      <c r="C96">
        <v>3.6049798781945697E-2</v>
      </c>
      <c r="D96">
        <v>9.3902748494887316E-3</v>
      </c>
      <c r="E96">
        <v>2.7600459574856761E-5</v>
      </c>
      <c r="F96">
        <v>49.481866455439139</v>
      </c>
      <c r="G96">
        <v>0.64262164227843033</v>
      </c>
      <c r="H96">
        <v>0.99379138190833782</v>
      </c>
      <c r="I96">
        <v>2562</v>
      </c>
      <c r="J96">
        <v>2642</v>
      </c>
      <c r="K96">
        <v>146</v>
      </c>
      <c r="L96">
        <v>366</v>
      </c>
      <c r="M96">
        <v>5</v>
      </c>
      <c r="N96" t="s">
        <v>170</v>
      </c>
      <c r="O96" t="s">
        <v>171</v>
      </c>
      <c r="P96">
        <f t="shared" si="34"/>
        <v>27.277452656343439</v>
      </c>
      <c r="Q96">
        <f t="shared" si="35"/>
        <v>0.13215969700734584</v>
      </c>
      <c r="R96">
        <f t="shared" si="36"/>
        <v>0.29392600341575209</v>
      </c>
      <c r="S96">
        <f t="shared" si="37"/>
        <v>1.0107042509445335E-2</v>
      </c>
      <c r="T96">
        <f t="shared" si="38"/>
        <v>0</v>
      </c>
      <c r="U96">
        <f t="shared" si="31"/>
        <v>-0.47608136041006632</v>
      </c>
      <c r="V96">
        <f t="shared" si="32"/>
        <v>0</v>
      </c>
      <c r="W96">
        <f t="shared" si="33"/>
        <v>-1.0107042509445335E-2</v>
      </c>
    </row>
    <row r="97" spans="1:23" x14ac:dyDescent="0.2">
      <c r="A97" t="s">
        <v>173</v>
      </c>
      <c r="B97">
        <v>-13.274435109311501</v>
      </c>
      <c r="C97">
        <v>3.5188876082271392E-2</v>
      </c>
      <c r="D97">
        <v>9.7615383378788084E-3</v>
      </c>
      <c r="E97">
        <v>1.7716267421974719E-5</v>
      </c>
      <c r="F97">
        <v>16.838202837150231</v>
      </c>
      <c r="G97">
        <v>0.21867795892402889</v>
      </c>
      <c r="H97">
        <v>0.99999999999996392</v>
      </c>
      <c r="I97">
        <v>2562</v>
      </c>
      <c r="J97">
        <v>2642</v>
      </c>
      <c r="K97">
        <v>91</v>
      </c>
      <c r="L97">
        <v>311</v>
      </c>
      <c r="M97">
        <v>5</v>
      </c>
      <c r="N97" t="s">
        <v>170</v>
      </c>
      <c r="O97" t="s">
        <v>171</v>
      </c>
      <c r="P97">
        <f t="shared" si="34"/>
        <v>13.274435109311501</v>
      </c>
      <c r="Q97">
        <f t="shared" si="35"/>
        <v>0.26508755960234998</v>
      </c>
      <c r="R97">
        <f t="shared" si="36"/>
        <v>0.18149052750454578</v>
      </c>
      <c r="S97">
        <f t="shared" si="37"/>
        <v>1.0478305997835412E-2</v>
      </c>
      <c r="T97">
        <f t="shared" si="38"/>
        <v>0</v>
      </c>
      <c r="U97">
        <f t="shared" si="31"/>
        <v>-0.23168259899981908</v>
      </c>
      <c r="V97">
        <f t="shared" si="32"/>
        <v>0</v>
      </c>
      <c r="W97">
        <f t="shared" si="33"/>
        <v>-1.0478305997835412E-2</v>
      </c>
    </row>
    <row r="98" spans="1:23" x14ac:dyDescent="0.2">
      <c r="A98" t="s">
        <v>174</v>
      </c>
      <c r="B98">
        <v>10.463794191600259</v>
      </c>
      <c r="C98">
        <v>4.191060571407057E-2</v>
      </c>
      <c r="D98">
        <v>1.00383906416909E-2</v>
      </c>
      <c r="E98">
        <v>1.9165021501064821E-5</v>
      </c>
      <c r="F98">
        <v>16.086705808208841</v>
      </c>
      <c r="G98">
        <v>0.25534453663823559</v>
      </c>
      <c r="H98">
        <v>0.99999999969497921</v>
      </c>
      <c r="I98">
        <v>2562</v>
      </c>
      <c r="J98">
        <v>2628</v>
      </c>
      <c r="K98">
        <v>132</v>
      </c>
      <c r="L98">
        <v>218</v>
      </c>
      <c r="M98">
        <v>5</v>
      </c>
      <c r="N98" t="s">
        <v>170</v>
      </c>
      <c r="O98" t="s">
        <v>175</v>
      </c>
      <c r="P98">
        <f t="shared" si="34"/>
        <v>10.463794191600259</v>
      </c>
      <c r="Q98">
        <f t="shared" si="35"/>
        <v>0.40052972131001996</v>
      </c>
      <c r="R98">
        <f t="shared" si="36"/>
        <v>0.19091727135492909</v>
      </c>
      <c r="S98">
        <f t="shared" si="37"/>
        <v>1.0755158301647503E-2</v>
      </c>
      <c r="T98">
        <f t="shared" si="38"/>
        <v>0</v>
      </c>
      <c r="U98">
        <f t="shared" si="31"/>
        <v>0.1826276608944829</v>
      </c>
      <c r="V98">
        <f t="shared" si="32"/>
        <v>0</v>
      </c>
      <c r="W98">
        <f t="shared" si="33"/>
        <v>-1.0755158301647503E-2</v>
      </c>
    </row>
    <row r="99" spans="1:23" x14ac:dyDescent="0.2">
      <c r="A99" t="s">
        <v>26</v>
      </c>
      <c r="B99">
        <v>-15.92085310654722</v>
      </c>
      <c r="C99">
        <v>3.3891429389072407E-2</v>
      </c>
      <c r="D99">
        <v>9.7061296890718872E-3</v>
      </c>
      <c r="E99">
        <v>1.5877837201811688E-5</v>
      </c>
      <c r="F99">
        <v>29.568782572174491</v>
      </c>
      <c r="G99">
        <v>0.33987106404798262</v>
      </c>
      <c r="H99">
        <v>0.99999999891065594</v>
      </c>
      <c r="I99">
        <v>2680</v>
      </c>
      <c r="J99">
        <v>2770</v>
      </c>
      <c r="K99">
        <v>148</v>
      </c>
      <c r="L99">
        <v>322</v>
      </c>
      <c r="M99">
        <v>5</v>
      </c>
      <c r="N99" t="s">
        <v>176</v>
      </c>
      <c r="O99" t="s">
        <v>177</v>
      </c>
      <c r="P99">
        <f t="shared" si="34"/>
        <v>15.92085310654722</v>
      </c>
      <c r="Q99">
        <f t="shared" si="35"/>
        <v>0.212874455673076</v>
      </c>
      <c r="R99">
        <f t="shared" si="36"/>
        <v>0.16358566916418307</v>
      </c>
      <c r="S99">
        <f t="shared" si="37"/>
        <v>1.0422897349028491E-2</v>
      </c>
      <c r="T99">
        <f t="shared" si="38"/>
        <v>0</v>
      </c>
      <c r="U99">
        <f t="shared" si="31"/>
        <v>-0.27787130643561658</v>
      </c>
      <c r="V99">
        <f t="shared" si="32"/>
        <v>0</v>
      </c>
      <c r="W99">
        <f t="shared" si="33"/>
        <v>-1.0422897349028491E-2</v>
      </c>
    </row>
    <row r="100" spans="1:23" x14ac:dyDescent="0.2">
      <c r="A100" t="s">
        <v>178</v>
      </c>
      <c r="B100">
        <v>-6.1436326870570177</v>
      </c>
      <c r="C100">
        <v>3.9779190877989201E-2</v>
      </c>
      <c r="D100">
        <v>9.7069953872695111E-3</v>
      </c>
      <c r="E100">
        <v>1.296604080329055E-5</v>
      </c>
      <c r="F100">
        <v>95.570788140031325</v>
      </c>
      <c r="G100">
        <v>1.165497416341845</v>
      </c>
      <c r="H100">
        <v>0.1450929196923601</v>
      </c>
      <c r="I100">
        <v>2680</v>
      </c>
      <c r="J100">
        <v>2765</v>
      </c>
      <c r="K100">
        <v>91</v>
      </c>
      <c r="L100">
        <v>289</v>
      </c>
      <c r="M100">
        <v>5</v>
      </c>
      <c r="N100" t="s">
        <v>176</v>
      </c>
      <c r="O100" t="s">
        <v>179</v>
      </c>
      <c r="P100">
        <f t="shared" si="34"/>
        <v>6.1436326870570177</v>
      </c>
      <c r="Q100">
        <f t="shared" si="35"/>
        <v>0.64748647753296285</v>
      </c>
      <c r="R100">
        <f t="shared" si="36"/>
        <v>0.13357419351713301</v>
      </c>
      <c r="S100">
        <f t="shared" si="37"/>
        <v>1.0423763047226114E-2</v>
      </c>
      <c r="T100">
        <f t="shared" si="38"/>
        <v>0</v>
      </c>
      <c r="U100">
        <f t="shared" si="31"/>
        <v>-0.10722661842229138</v>
      </c>
      <c r="V100">
        <f t="shared" si="32"/>
        <v>0</v>
      </c>
      <c r="W100">
        <f t="shared" si="33"/>
        <v>-1.0423763047226114E-2</v>
      </c>
    </row>
    <row r="101" spans="1:23" x14ac:dyDescent="0.2">
      <c r="A101" t="s">
        <v>180</v>
      </c>
      <c r="B101">
        <v>25.45711662982503</v>
      </c>
      <c r="C101">
        <v>3.001533409207013E-2</v>
      </c>
      <c r="D101">
        <v>9.5647818817429769E-3</v>
      </c>
      <c r="E101">
        <v>8.5753229983738715E-6</v>
      </c>
      <c r="F101">
        <v>103.0687721915038</v>
      </c>
      <c r="G101">
        <v>0.70114811014628431</v>
      </c>
      <c r="H101">
        <v>0.99770079755933694</v>
      </c>
      <c r="I101">
        <v>2680</v>
      </c>
      <c r="J101">
        <v>2830</v>
      </c>
      <c r="K101">
        <v>60</v>
      </c>
      <c r="L101">
        <v>158</v>
      </c>
      <c r="M101">
        <v>5</v>
      </c>
      <c r="N101" t="s">
        <v>176</v>
      </c>
      <c r="O101" t="s">
        <v>181</v>
      </c>
      <c r="P101">
        <f t="shared" si="34"/>
        <v>25.45711662982503</v>
      </c>
      <c r="Q101">
        <f t="shared" si="35"/>
        <v>0.11790547424724758</v>
      </c>
      <c r="R101">
        <f t="shared" si="36"/>
        <v>8.9655186123399636E-2</v>
      </c>
      <c r="S101">
        <f t="shared" si="37"/>
        <v>1.028154954169958E-2</v>
      </c>
      <c r="T101">
        <f t="shared" si="38"/>
        <v>0</v>
      </c>
      <c r="U101">
        <f t="shared" si="31"/>
        <v>0.44431050325464927</v>
      </c>
      <c r="V101">
        <f t="shared" si="32"/>
        <v>0</v>
      </c>
      <c r="W101">
        <f t="shared" si="33"/>
        <v>-1.028154954169958E-2</v>
      </c>
    </row>
    <row r="102" spans="1:23" x14ac:dyDescent="0.2">
      <c r="A102" t="s">
        <v>182</v>
      </c>
      <c r="B102">
        <v>-11.026445896557309</v>
      </c>
      <c r="C102">
        <v>3.3555444651403477E-2</v>
      </c>
      <c r="D102">
        <v>9.5776205666482928E-3</v>
      </c>
      <c r="E102">
        <v>1.122742133653486E-5</v>
      </c>
      <c r="F102">
        <v>34.380829822666513</v>
      </c>
      <c r="G102">
        <v>0.32131616656697681</v>
      </c>
      <c r="H102">
        <v>0.99999999999805467</v>
      </c>
      <c r="I102">
        <v>2729</v>
      </c>
      <c r="J102">
        <v>2839</v>
      </c>
      <c r="K102">
        <v>156</v>
      </c>
      <c r="L102">
        <v>309</v>
      </c>
      <c r="M102">
        <v>5</v>
      </c>
      <c r="N102" t="s">
        <v>183</v>
      </c>
      <c r="O102" t="s">
        <v>184</v>
      </c>
      <c r="P102">
        <f t="shared" si="34"/>
        <v>11.026445896557309</v>
      </c>
      <c r="Q102">
        <f t="shared" si="35"/>
        <v>0.30431786421661217</v>
      </c>
      <c r="R102">
        <f t="shared" si="36"/>
        <v>0.11722558080481485</v>
      </c>
      <c r="S102">
        <f t="shared" si="37"/>
        <v>1.0294388226604896E-2</v>
      </c>
      <c r="T102">
        <f t="shared" si="38"/>
        <v>0</v>
      </c>
      <c r="U102">
        <f t="shared" si="31"/>
        <v>-0.19244778568794313</v>
      </c>
      <c r="V102">
        <f t="shared" si="32"/>
        <v>0</v>
      </c>
      <c r="W102">
        <f t="shared" si="33"/>
        <v>-1.0294388226604896E-2</v>
      </c>
    </row>
    <row r="103" spans="1:23" x14ac:dyDescent="0.2">
      <c r="A103" t="s">
        <v>185</v>
      </c>
      <c r="B103">
        <v>-17.11507819918501</v>
      </c>
      <c r="C103">
        <v>3.6678746586822797E-2</v>
      </c>
      <c r="D103">
        <v>1.0345269834935869E-2</v>
      </c>
      <c r="E103">
        <v>2.526909270443207E-5</v>
      </c>
      <c r="F103">
        <v>8.4226800163725049</v>
      </c>
      <c r="G103">
        <v>0.12571164203541049</v>
      </c>
      <c r="H103">
        <v>1</v>
      </c>
      <c r="I103">
        <v>2729</v>
      </c>
      <c r="J103">
        <v>2799</v>
      </c>
      <c r="K103">
        <v>118</v>
      </c>
      <c r="L103">
        <v>337</v>
      </c>
      <c r="M103">
        <v>5</v>
      </c>
      <c r="N103" t="s">
        <v>183</v>
      </c>
      <c r="O103" t="s">
        <v>186</v>
      </c>
      <c r="P103">
        <f t="shared" si="34"/>
        <v>17.11507819918501</v>
      </c>
      <c r="Q103">
        <f t="shared" si="35"/>
        <v>0.21430662577147544</v>
      </c>
      <c r="R103">
        <f t="shared" si="36"/>
        <v>0.24425745396314946</v>
      </c>
      <c r="S103">
        <f t="shared" si="37"/>
        <v>1.1062037494892473E-2</v>
      </c>
      <c r="T103">
        <f t="shared" si="38"/>
        <v>0</v>
      </c>
      <c r="U103">
        <f t="shared" si="31"/>
        <v>-0.29871446631208032</v>
      </c>
      <c r="V103">
        <f t="shared" si="32"/>
        <v>0</v>
      </c>
      <c r="W103">
        <f t="shared" si="33"/>
        <v>-1.1062037494892473E-2</v>
      </c>
    </row>
    <row r="104" spans="1:23" x14ac:dyDescent="0.2">
      <c r="A104" t="s">
        <v>187</v>
      </c>
      <c r="B104">
        <v>-14.837889388721299</v>
      </c>
      <c r="C104">
        <v>3.1761915493946802E-2</v>
      </c>
      <c r="D104">
        <v>9.6384942307865176E-3</v>
      </c>
      <c r="E104">
        <v>1.1805310674693949E-5</v>
      </c>
      <c r="F104">
        <v>36.194096383007142</v>
      </c>
      <c r="G104">
        <v>0.30935125113681322</v>
      </c>
      <c r="H104">
        <v>0.99999999999995914</v>
      </c>
      <c r="I104">
        <v>2729</v>
      </c>
      <c r="J104">
        <v>2849</v>
      </c>
      <c r="K104">
        <v>155</v>
      </c>
      <c r="L104">
        <v>322</v>
      </c>
      <c r="M104">
        <v>5</v>
      </c>
      <c r="N104" t="s">
        <v>183</v>
      </c>
      <c r="O104" t="s">
        <v>188</v>
      </c>
      <c r="P104">
        <f t="shared" si="34"/>
        <v>14.837889388721299</v>
      </c>
      <c r="Q104">
        <f t="shared" si="35"/>
        <v>0.21405952465240732</v>
      </c>
      <c r="R104">
        <f t="shared" si="36"/>
        <v>0.12248086051643169</v>
      </c>
      <c r="S104">
        <f t="shared" si="37"/>
        <v>1.0355261890743121E-2</v>
      </c>
      <c r="T104">
        <f t="shared" si="38"/>
        <v>0</v>
      </c>
      <c r="U104">
        <f t="shared" si="31"/>
        <v>-0.25897002387991547</v>
      </c>
      <c r="V104">
        <f t="shared" si="32"/>
        <v>0</v>
      </c>
      <c r="W104">
        <f t="shared" si="33"/>
        <v>-1.0355261890743121E-2</v>
      </c>
    </row>
    <row r="105" spans="1:23" x14ac:dyDescent="0.2">
      <c r="A105" t="s">
        <v>189</v>
      </c>
      <c r="B105">
        <v>-17.945549465042181</v>
      </c>
      <c r="C105">
        <v>3.0440101604085609E-2</v>
      </c>
      <c r="D105">
        <v>9.6225508367593533E-3</v>
      </c>
      <c r="E105">
        <v>8.1248271283903245E-6</v>
      </c>
      <c r="F105">
        <v>125.56609599266611</v>
      </c>
      <c r="G105">
        <v>0.85419112920181006</v>
      </c>
      <c r="H105">
        <v>0.89922994520092914</v>
      </c>
      <c r="I105">
        <v>2729</v>
      </c>
      <c r="J105">
        <v>2879</v>
      </c>
      <c r="K105">
        <v>55</v>
      </c>
      <c r="L105">
        <v>331</v>
      </c>
      <c r="M105">
        <v>5</v>
      </c>
      <c r="N105" t="s">
        <v>183</v>
      </c>
      <c r="O105" t="s">
        <v>190</v>
      </c>
      <c r="P105">
        <f t="shared" si="34"/>
        <v>17.945549465042181</v>
      </c>
      <c r="Q105">
        <f t="shared" si="35"/>
        <v>0.16962479562625118</v>
      </c>
      <c r="R105">
        <f t="shared" si="36"/>
        <v>8.4435273621548082E-2</v>
      </c>
      <c r="S105">
        <f t="shared" si="37"/>
        <v>1.0339318496715957E-2</v>
      </c>
      <c r="T105">
        <f t="shared" si="38"/>
        <v>0</v>
      </c>
      <c r="U105">
        <f t="shared" si="31"/>
        <v>-0.31320892424449309</v>
      </c>
      <c r="V105">
        <f t="shared" si="32"/>
        <v>0</v>
      </c>
      <c r="W105">
        <f t="shared" si="33"/>
        <v>-1.0339318496715957E-2</v>
      </c>
    </row>
    <row r="106" spans="1:23" x14ac:dyDescent="0.2">
      <c r="A106" t="s">
        <v>191</v>
      </c>
      <c r="B106">
        <v>-27.221461521556009</v>
      </c>
      <c r="C106">
        <v>3.2367603543416827E-2</v>
      </c>
      <c r="D106">
        <v>9.9041991441402594E-3</v>
      </c>
      <c r="E106">
        <v>1.5346688256193958E-5</v>
      </c>
      <c r="F106">
        <v>91.131416946248535</v>
      </c>
      <c r="G106">
        <v>0.81367336559150483</v>
      </c>
      <c r="H106">
        <v>0.9259787716909228</v>
      </c>
      <c r="I106">
        <v>2729</v>
      </c>
      <c r="J106">
        <v>2844</v>
      </c>
      <c r="K106">
        <v>74</v>
      </c>
      <c r="L106">
        <v>366</v>
      </c>
      <c r="M106">
        <v>5</v>
      </c>
      <c r="N106" t="s">
        <v>183</v>
      </c>
      <c r="O106" t="s">
        <v>192</v>
      </c>
      <c r="P106">
        <f t="shared" si="34"/>
        <v>27.221461521556009</v>
      </c>
      <c r="Q106">
        <f t="shared" si="35"/>
        <v>0.11890472345794406</v>
      </c>
      <c r="R106">
        <f t="shared" si="36"/>
        <v>0.15495132956079244</v>
      </c>
      <c r="S106">
        <f t="shared" si="37"/>
        <v>1.0620966804096863E-2</v>
      </c>
      <c r="T106">
        <f t="shared" si="38"/>
        <v>0</v>
      </c>
      <c r="U106">
        <f t="shared" si="31"/>
        <v>-0.47510413075609775</v>
      </c>
      <c r="V106">
        <f t="shared" si="32"/>
        <v>0</v>
      </c>
      <c r="W106">
        <f t="shared" si="33"/>
        <v>-1.0620966804096863E-2</v>
      </c>
    </row>
    <row r="107" spans="1:23" x14ac:dyDescent="0.2">
      <c r="A107" t="s">
        <v>193</v>
      </c>
      <c r="B107">
        <v>-2.469476894531927</v>
      </c>
      <c r="C107">
        <v>4.5340387339584787E-2</v>
      </c>
      <c r="D107">
        <v>1.011880855604584E-2</v>
      </c>
      <c r="E107">
        <v>8.0503699620209007E-6</v>
      </c>
      <c r="F107">
        <v>30.060368214116561</v>
      </c>
      <c r="G107">
        <v>0.26839614476889789</v>
      </c>
      <c r="H107">
        <v>0.99999999999999956</v>
      </c>
      <c r="I107">
        <v>2758</v>
      </c>
      <c r="J107">
        <v>2873</v>
      </c>
      <c r="K107">
        <v>63</v>
      </c>
      <c r="L107">
        <v>268</v>
      </c>
      <c r="M107">
        <v>5</v>
      </c>
      <c r="N107" t="s">
        <v>194</v>
      </c>
      <c r="O107" t="s">
        <v>195</v>
      </c>
      <c r="P107">
        <f t="shared" si="34"/>
        <v>2.469476894531927</v>
      </c>
      <c r="Q107">
        <f t="shared" si="35"/>
        <v>1.8360320535891774</v>
      </c>
      <c r="R107">
        <f t="shared" si="36"/>
        <v>7.9558476844696538E-2</v>
      </c>
      <c r="S107">
        <f t="shared" si="37"/>
        <v>1.0835576216002443E-2</v>
      </c>
      <c r="T107">
        <f t="shared" si="38"/>
        <v>0</v>
      </c>
      <c r="U107">
        <f t="shared" si="31"/>
        <v>-4.3100502611506879E-2</v>
      </c>
      <c r="V107">
        <f t="shared" si="32"/>
        <v>0</v>
      </c>
      <c r="W107">
        <f t="shared" si="33"/>
        <v>-1.0835576216002443E-2</v>
      </c>
    </row>
    <row r="108" spans="1:23" x14ac:dyDescent="0.2">
      <c r="A108">
        <v>3734</v>
      </c>
      <c r="B108">
        <v>8.8020096108170556</v>
      </c>
      <c r="C108">
        <v>4.5752759082525067E-2</v>
      </c>
      <c r="D108">
        <v>9.9218840047427554E-3</v>
      </c>
      <c r="E108">
        <v>1.328607906953375E-5</v>
      </c>
      <c r="F108">
        <v>113.48970500661071</v>
      </c>
      <c r="G108">
        <v>1.473892272813127</v>
      </c>
      <c r="H108">
        <v>4.3323796018741511E-3</v>
      </c>
      <c r="I108">
        <v>2848</v>
      </c>
      <c r="J108">
        <v>2928</v>
      </c>
      <c r="K108">
        <v>171</v>
      </c>
      <c r="L108">
        <v>232</v>
      </c>
      <c r="M108">
        <v>5</v>
      </c>
      <c r="N108" t="s">
        <v>196</v>
      </c>
      <c r="O108" t="s">
        <v>197</v>
      </c>
      <c r="P108">
        <f t="shared" si="34"/>
        <v>8.8020096108170556</v>
      </c>
      <c r="Q108">
        <f t="shared" si="35"/>
        <v>0.51979901301514286</v>
      </c>
      <c r="R108">
        <f t="shared" si="36"/>
        <v>0.13390681712447836</v>
      </c>
      <c r="S108">
        <f t="shared" si="37"/>
        <v>1.0638651664699359E-2</v>
      </c>
      <c r="T108">
        <f t="shared" si="38"/>
        <v>0</v>
      </c>
      <c r="U108">
        <f t="shared" si="31"/>
        <v>0.1536240485009423</v>
      </c>
      <c r="V108">
        <f t="shared" si="32"/>
        <v>0</v>
      </c>
      <c r="W108">
        <f t="shared" si="33"/>
        <v>-1.0638651664699359E-2</v>
      </c>
    </row>
    <row r="109" spans="1:23" x14ac:dyDescent="0.2">
      <c r="A109" t="s">
        <v>198</v>
      </c>
      <c r="B109">
        <v>16.417453960482021</v>
      </c>
      <c r="C109">
        <v>3.7148207972350633E-2</v>
      </c>
      <c r="D109">
        <v>9.5861803510788549E-3</v>
      </c>
      <c r="E109">
        <v>1.6695313143896059E-5</v>
      </c>
      <c r="F109">
        <v>22.223458500889802</v>
      </c>
      <c r="G109">
        <v>0.29631278001186401</v>
      </c>
      <c r="H109">
        <v>0.99999999959260155</v>
      </c>
      <c r="I109">
        <v>2848</v>
      </c>
      <c r="J109">
        <v>2926</v>
      </c>
      <c r="K109">
        <v>134</v>
      </c>
      <c r="L109">
        <v>199</v>
      </c>
      <c r="M109">
        <v>5</v>
      </c>
      <c r="N109" t="s">
        <v>196</v>
      </c>
      <c r="O109" t="s">
        <v>199</v>
      </c>
      <c r="P109">
        <f t="shared" si="34"/>
        <v>16.417453960482021</v>
      </c>
      <c r="Q109">
        <f t="shared" si="35"/>
        <v>0.22627264898545785</v>
      </c>
      <c r="R109">
        <f t="shared" si="36"/>
        <v>0.17416022370179091</v>
      </c>
      <c r="S109">
        <f t="shared" si="37"/>
        <v>1.0302948011035458E-2</v>
      </c>
      <c r="T109">
        <f t="shared" si="38"/>
        <v>0</v>
      </c>
      <c r="U109">
        <f t="shared" si="31"/>
        <v>0.28653862640499428</v>
      </c>
      <c r="V109">
        <f t="shared" si="32"/>
        <v>0</v>
      </c>
      <c r="W109">
        <f t="shared" si="33"/>
        <v>-1.0302948011035458E-2</v>
      </c>
    </row>
    <row r="110" spans="1:23" x14ac:dyDescent="0.2">
      <c r="A110" t="s">
        <v>200</v>
      </c>
      <c r="B110">
        <v>-19.457667175598079</v>
      </c>
      <c r="C110">
        <v>3.0264433907557731E-2</v>
      </c>
      <c r="D110">
        <v>9.5968855949332636E-3</v>
      </c>
      <c r="E110">
        <v>8.7158276711675683E-6</v>
      </c>
      <c r="F110">
        <v>63.453227386785763</v>
      </c>
      <c r="G110">
        <v>0.43165460807337253</v>
      </c>
      <c r="H110">
        <v>0.99999999983028076</v>
      </c>
      <c r="I110">
        <v>2870</v>
      </c>
      <c r="J110">
        <v>3020</v>
      </c>
      <c r="K110">
        <v>71</v>
      </c>
      <c r="L110">
        <v>338</v>
      </c>
      <c r="M110">
        <v>10</v>
      </c>
      <c r="N110" t="s">
        <v>201</v>
      </c>
      <c r="O110" t="s">
        <v>202</v>
      </c>
      <c r="P110">
        <f t="shared" si="34"/>
        <v>19.457667175598079</v>
      </c>
      <c r="Q110">
        <f t="shared" si="35"/>
        <v>0.15553988890051759</v>
      </c>
      <c r="R110">
        <f t="shared" si="36"/>
        <v>9.0819334928501638E-2</v>
      </c>
      <c r="S110">
        <f t="shared" si="37"/>
        <v>1.0313653254889867E-2</v>
      </c>
      <c r="T110">
        <f t="shared" si="38"/>
        <v>0</v>
      </c>
      <c r="U110">
        <f t="shared" si="31"/>
        <v>-0.33960035697141217</v>
      </c>
      <c r="V110">
        <f t="shared" si="32"/>
        <v>0</v>
      </c>
      <c r="W110">
        <f t="shared" si="33"/>
        <v>-1.0313653254889867E-2</v>
      </c>
    </row>
    <row r="111" spans="1:23" x14ac:dyDescent="0.2">
      <c r="A111" t="s">
        <v>203</v>
      </c>
      <c r="B111">
        <v>-19.102330048067941</v>
      </c>
      <c r="C111">
        <v>5.0239463542578022E-2</v>
      </c>
      <c r="D111">
        <v>1.0567637618225991E-2</v>
      </c>
      <c r="E111">
        <v>4.3360530520809647E-5</v>
      </c>
      <c r="F111">
        <v>64.475827363621846</v>
      </c>
      <c r="G111">
        <v>1.074597122727031</v>
      </c>
      <c r="H111">
        <v>0.32297938445891511</v>
      </c>
      <c r="I111">
        <v>2900</v>
      </c>
      <c r="J111">
        <v>2963</v>
      </c>
      <c r="K111">
        <v>236</v>
      </c>
      <c r="L111">
        <v>345</v>
      </c>
      <c r="M111">
        <v>5</v>
      </c>
      <c r="N111" t="s">
        <v>204</v>
      </c>
      <c r="O111" t="s">
        <v>205</v>
      </c>
      <c r="P111">
        <f t="shared" si="34"/>
        <v>19.102330048067941</v>
      </c>
      <c r="Q111">
        <f t="shared" si="35"/>
        <v>0.26300175641483781</v>
      </c>
      <c r="R111">
        <f t="shared" si="36"/>
        <v>0.41031432082820291</v>
      </c>
      <c r="S111">
        <f t="shared" si="37"/>
        <v>1.1284405278182594E-2</v>
      </c>
      <c r="T111">
        <f t="shared" si="38"/>
        <v>0</v>
      </c>
      <c r="U111">
        <f t="shared" si="31"/>
        <v>-0.33339855414143227</v>
      </c>
      <c r="V111">
        <f t="shared" si="32"/>
        <v>0</v>
      </c>
      <c r="W111">
        <f t="shared" si="33"/>
        <v>-1.1284405278182594E-2</v>
      </c>
    </row>
    <row r="112" spans="1:23" x14ac:dyDescent="0.2">
      <c r="A112" t="s">
        <v>200</v>
      </c>
      <c r="B112">
        <v>-19.511635268841701</v>
      </c>
      <c r="C112">
        <v>3.2581760453471283E-2</v>
      </c>
      <c r="D112">
        <v>9.5456747827809118E-3</v>
      </c>
      <c r="E112">
        <v>1.5605164836508169E-5</v>
      </c>
      <c r="F112">
        <v>26.661700480540361</v>
      </c>
      <c r="G112">
        <v>0.27486289155196247</v>
      </c>
      <c r="H112">
        <v>0.99999999999990807</v>
      </c>
      <c r="I112">
        <v>2900</v>
      </c>
      <c r="J112">
        <v>3000</v>
      </c>
      <c r="K112">
        <v>140</v>
      </c>
      <c r="L112">
        <v>343</v>
      </c>
      <c r="M112">
        <v>5</v>
      </c>
      <c r="N112" t="s">
        <v>204</v>
      </c>
      <c r="O112" t="s">
        <v>206</v>
      </c>
      <c r="P112">
        <f t="shared" si="34"/>
        <v>19.511635268841701</v>
      </c>
      <c r="Q112">
        <f t="shared" si="35"/>
        <v>0.16698631357414401</v>
      </c>
      <c r="R112">
        <f t="shared" si="36"/>
        <v>0.1634789073754927</v>
      </c>
      <c r="S112">
        <f t="shared" si="37"/>
        <v>1.0262442442737515E-2</v>
      </c>
      <c r="T112">
        <f t="shared" si="38"/>
        <v>0</v>
      </c>
      <c r="U112">
        <f t="shared" si="31"/>
        <v>-0.34054227788953667</v>
      </c>
      <c r="V112">
        <f t="shared" si="32"/>
        <v>0</v>
      </c>
      <c r="W112">
        <f t="shared" si="33"/>
        <v>-1.0262442442737515E-2</v>
      </c>
    </row>
    <row r="113" spans="1:23" x14ac:dyDescent="0.2">
      <c r="A113" t="s">
        <v>207</v>
      </c>
      <c r="B113">
        <v>-8.2488655041408485</v>
      </c>
      <c r="C113">
        <v>3.4197061477406983E-2</v>
      </c>
      <c r="D113">
        <v>1.006401380269711E-2</v>
      </c>
      <c r="E113">
        <v>7.1317851590014197E-6</v>
      </c>
      <c r="F113">
        <v>189.31991395316379</v>
      </c>
      <c r="G113">
        <v>1.287890571109958</v>
      </c>
      <c r="H113">
        <v>1.0651731623852429E-2</v>
      </c>
      <c r="I113">
        <v>2900</v>
      </c>
      <c r="J113">
        <v>3050</v>
      </c>
      <c r="K113">
        <v>57</v>
      </c>
      <c r="L113">
        <v>297</v>
      </c>
      <c r="M113">
        <v>5</v>
      </c>
      <c r="N113" t="s">
        <v>204</v>
      </c>
      <c r="O113" t="s">
        <v>208</v>
      </c>
      <c r="P113">
        <f t="shared" ref="P113" si="39">ABS(B113)</f>
        <v>8.2488655041408485</v>
      </c>
      <c r="Q113">
        <f t="shared" ref="Q113" si="40">(C113/ABS(B113))*100</f>
        <v>0.41456684510421948</v>
      </c>
      <c r="R113">
        <f t="shared" ref="R113" si="41">(E113/ABS(D113))*100</f>
        <v>7.0864222752656927E-2</v>
      </c>
      <c r="S113">
        <f t="shared" ref="S113" si="42">D113+(2*PI())/(365.25*24)</f>
        <v>1.0780781462653714E-2</v>
      </c>
      <c r="T113">
        <f t="shared" si="38"/>
        <v>0</v>
      </c>
      <c r="U113">
        <f t="shared" si="31"/>
        <v>-0.14396986260143976</v>
      </c>
      <c r="V113">
        <f t="shared" si="32"/>
        <v>0</v>
      </c>
      <c r="W113">
        <f t="shared" si="33"/>
        <v>-1.0780781462653714E-2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MEHTAB (Student)</dc:creator>
  <cp:lastModifiedBy>SINGH, MEHTAB (Student)</cp:lastModifiedBy>
  <dcterms:created xsi:type="dcterms:W3CDTF">2025-11-14T17:00:38Z</dcterms:created>
  <dcterms:modified xsi:type="dcterms:W3CDTF">2026-01-16T19:07:49Z</dcterms:modified>
</cp:coreProperties>
</file>